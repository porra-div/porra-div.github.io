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GQ70666\Desktop\"/>
    </mc:Choice>
  </mc:AlternateContent>
  <xr:revisionPtr revIDLastSave="0" documentId="13_ncr:1_{AE75A37A-0EDB-4B3B-A2C7-63CE2194E8FB}"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2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81" i="3"/>
  <c r="Z96" i="3"/>
  <c r="Z73" i="3"/>
  <c r="Z17" i="3"/>
  <c r="Z80" i="3"/>
  <c r="Z56" i="3"/>
  <c r="Z33" i="3"/>
  <c r="AJ29" i="3"/>
  <c r="AJ21" i="3"/>
  <c r="AJ45" i="3"/>
  <c r="C253" i="31"/>
  <c r="C258" i="31"/>
  <c r="D72" i="36"/>
  <c r="AY3" i="3" s="1"/>
  <c r="D273" i="36"/>
  <c r="EU6144" i="34"/>
  <c r="G227" i="36" s="1"/>
  <c r="D227" i="36" s="1"/>
  <c r="K27" i="6" s="1"/>
  <c r="E17" i="30"/>
  <c r="AC19" i="3"/>
  <c r="AC83" i="3"/>
  <c r="AC91" i="3"/>
  <c r="AC75" i="3"/>
  <c r="AC35" i="3"/>
  <c r="AC142" i="3"/>
  <c r="AC130" i="3"/>
  <c r="AC27" i="3"/>
  <c r="AC119" i="3"/>
  <c r="AC67" i="3"/>
  <c r="AC59" i="3"/>
  <c r="BF5" i="3"/>
  <c r="BF57" i="3" s="1"/>
  <c r="AN13" i="3"/>
  <c r="AN45"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Z78" i="3" l="1"/>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AG158" i="3" s="1"/>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5" i="3" l="1"/>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13" i="32" l="1"/>
  <c r="X113" i="3" s="1"/>
  <c r="C69" i="32"/>
  <c r="Y69" i="3" s="1"/>
  <c r="C102" i="32"/>
  <c r="X102" i="3" s="1"/>
  <c r="C143" i="32"/>
  <c r="X143" i="3" s="1"/>
  <c r="C101" i="32"/>
  <c r="Y101" i="3" s="1"/>
  <c r="C122" i="32"/>
  <c r="Y122" i="3" s="1"/>
  <c r="C23" i="32"/>
  <c r="X23" i="3" s="1"/>
  <c r="C138" i="32"/>
  <c r="Y138" i="3" s="1"/>
  <c r="C55" i="32"/>
  <c r="Y55" i="3" s="1"/>
  <c r="C6" i="32"/>
  <c r="X6" i="3" s="1"/>
  <c r="C120" i="32"/>
  <c r="X120" i="3" s="1"/>
  <c r="C62" i="32"/>
  <c r="Y62" i="3" s="1"/>
  <c r="C14" i="32"/>
  <c r="X14" i="3" s="1"/>
  <c r="C81" i="32"/>
  <c r="X81" i="3" s="1"/>
  <c r="C60" i="32"/>
  <c r="Y60" i="3" s="1"/>
  <c r="C93" i="32"/>
  <c r="Y93" i="3" s="1"/>
  <c r="C4" i="32"/>
  <c r="X4" i="3" s="1"/>
  <c r="C114" i="32"/>
  <c r="X114" i="3" s="1"/>
  <c r="C78" i="32"/>
  <c r="Y78" i="3" s="1"/>
  <c r="C86" i="32"/>
  <c r="X86" i="3" s="1"/>
  <c r="C103" i="32"/>
  <c r="X103" i="3" s="1"/>
  <c r="C110" i="32"/>
  <c r="X110" i="3" s="1"/>
  <c r="C17" i="32"/>
  <c r="X17" i="3" s="1"/>
  <c r="C25" i="32"/>
  <c r="X25" i="3" s="1"/>
  <c r="C56" i="32"/>
  <c r="X56" i="3" s="1"/>
  <c r="C127" i="32"/>
  <c r="X127" i="3" s="1"/>
  <c r="C13" i="32"/>
  <c r="Y13" i="3" s="1"/>
  <c r="C41" i="32"/>
  <c r="X41" i="3" s="1"/>
  <c r="C88" i="32"/>
  <c r="X88" i="3" s="1"/>
  <c r="C5" i="32"/>
  <c r="Y5" i="3" s="1"/>
  <c r="C106" i="32"/>
  <c r="Y106" i="3" s="1"/>
  <c r="C28" i="32"/>
  <c r="X28" i="3" s="1"/>
  <c r="C9" i="32"/>
  <c r="X9" i="3" s="1"/>
  <c r="C16" i="32"/>
  <c r="X16" i="3" s="1"/>
  <c r="C92" i="32"/>
  <c r="X92" i="3" s="1"/>
  <c r="C45" i="32"/>
  <c r="X45" i="3" s="1"/>
  <c r="C57" i="32"/>
  <c r="Y57" i="3" s="1"/>
  <c r="C115" i="32"/>
  <c r="Y115" i="3" s="1"/>
  <c r="C95" i="32"/>
  <c r="X95" i="3" s="1"/>
  <c r="C108" i="32"/>
  <c r="Y108" i="3" s="1"/>
  <c r="C125" i="32"/>
  <c r="Y125" i="3" s="1"/>
  <c r="C134" i="32"/>
  <c r="Y134" i="3" s="1"/>
  <c r="C84" i="32"/>
  <c r="X84" i="3" s="1"/>
  <c r="C54" i="32"/>
  <c r="Y54" i="3" s="1"/>
  <c r="C85" i="32"/>
  <c r="X85" i="3" s="1"/>
  <c r="C33" i="32"/>
  <c r="X33" i="3" s="1"/>
  <c r="C64" i="32"/>
  <c r="Y64" i="3" s="1"/>
  <c r="C21" i="32"/>
  <c r="X21" i="3" s="1"/>
  <c r="C12" i="32"/>
  <c r="X12" i="3" s="1"/>
  <c r="C38" i="32"/>
  <c r="Y38" i="3" s="1"/>
  <c r="C31" i="32"/>
  <c r="Y31" i="3" s="1"/>
  <c r="C29" i="32"/>
  <c r="Y29" i="3" s="1"/>
  <c r="C61" i="32"/>
  <c r="X61" i="3" s="1"/>
  <c r="C116" i="32"/>
  <c r="X116" i="3" s="1"/>
  <c r="C53" i="32"/>
  <c r="Y53" i="3" s="1"/>
  <c r="C139" i="32"/>
  <c r="X139" i="3" s="1"/>
  <c r="C20" i="32"/>
  <c r="Y20" i="3" s="1"/>
  <c r="C94" i="32"/>
  <c r="X94" i="3" s="1"/>
  <c r="C79" i="32"/>
  <c r="Y79" i="3" s="1"/>
  <c r="C65" i="32"/>
  <c r="Y65" i="3" s="1"/>
  <c r="C105" i="32"/>
  <c r="X105" i="3" s="1"/>
  <c r="C49" i="32"/>
  <c r="X49" i="3" s="1"/>
  <c r="C7" i="32"/>
  <c r="X7" i="3" s="1"/>
  <c r="C124" i="32"/>
  <c r="Y124" i="3" s="1"/>
  <c r="C48" i="32"/>
  <c r="Y48"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2" i="3"/>
  <c r="Y113" i="3"/>
  <c r="X69" i="3"/>
  <c r="Y143" i="3" l="1"/>
  <c r="Y23" i="3"/>
  <c r="X31" i="3"/>
  <c r="X101" i="3"/>
  <c r="X122" i="3"/>
  <c r="Y92" i="3"/>
  <c r="Y17" i="3"/>
  <c r="Y84" i="3"/>
  <c r="X138" i="3"/>
  <c r="Y120" i="3"/>
  <c r="X78" i="3"/>
  <c r="X53" i="3"/>
  <c r="X60" i="3"/>
  <c r="X13" i="3"/>
  <c r="X106" i="3"/>
  <c r="Y95" i="3"/>
  <c r="X20" i="3"/>
  <c r="Y61" i="3"/>
  <c r="Y4" i="3"/>
  <c r="Y105" i="3"/>
  <c r="Y88" i="3"/>
  <c r="Y6" i="3"/>
  <c r="X55" i="3"/>
  <c r="Y14" i="3"/>
  <c r="Y25" i="3"/>
  <c r="Y86" i="3"/>
  <c r="X93" i="3"/>
  <c r="X108" i="3"/>
  <c r="Y45" i="3"/>
  <c r="Y28" i="3"/>
  <c r="X62" i="3"/>
  <c r="Y41" i="3"/>
  <c r="Y139" i="3"/>
  <c r="X65" i="3"/>
  <c r="X29" i="3"/>
  <c r="X54" i="3"/>
  <c r="Y21" i="3"/>
  <c r="X124" i="3"/>
  <c r="Y81" i="3"/>
  <c r="X64" i="3"/>
  <c r="X79" i="3"/>
  <c r="Y76" i="3"/>
  <c r="X32" i="3"/>
  <c r="X115" i="3"/>
  <c r="Y49" i="3"/>
  <c r="Y114" i="3"/>
  <c r="X134" i="3"/>
  <c r="Y127" i="3"/>
  <c r="X5" i="3"/>
  <c r="Y16" i="3"/>
  <c r="Y112" i="3"/>
  <c r="X131" i="3"/>
  <c r="Y33" i="3"/>
  <c r="Y12" i="3"/>
  <c r="X57" i="3"/>
  <c r="Y85" i="3"/>
  <c r="Y94" i="3"/>
  <c r="Y103" i="3"/>
  <c r="Y9" i="3"/>
  <c r="Y121" i="3"/>
  <c r="Y116" i="3"/>
  <c r="Y22" i="3"/>
  <c r="Y110" i="3"/>
  <c r="X47" i="3"/>
  <c r="Y56" i="3"/>
  <c r="X48" i="3"/>
  <c r="X38" i="3"/>
  <c r="X125" i="3"/>
  <c r="Y7" i="3"/>
  <c r="X126" i="3"/>
  <c r="X44" i="3"/>
  <c r="Y133" i="3"/>
  <c r="X63" i="3"/>
  <c r="Y104" i="3"/>
  <c r="X24" i="3"/>
  <c r="X111" i="3"/>
  <c r="X123" i="3"/>
  <c r="Y77" i="3"/>
  <c r="X68" i="3"/>
  <c r="Y30" i="3"/>
  <c r="X89"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BW29" i="3" s="1"/>
  <c r="F92" i="3"/>
  <c r="F95" i="3"/>
  <c r="BW53" i="3" s="1"/>
  <c r="E97" i="3"/>
  <c r="BV52" i="3" s="1"/>
  <c r="F81" i="3"/>
  <c r="E76" i="3"/>
  <c r="E78" i="3"/>
  <c r="BW44" i="3" s="1"/>
  <c r="E48" i="3"/>
  <c r="F44" i="3"/>
  <c r="BW26" i="3" s="1"/>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F49" i="3"/>
  <c r="BU29" i="3" s="1"/>
  <c r="E73" i="3"/>
  <c r="F68" i="3"/>
  <c r="F71" i="3"/>
  <c r="E71" i="3"/>
  <c r="E72" i="3"/>
  <c r="F69" i="3"/>
  <c r="BW40" i="3" s="1"/>
  <c r="E55" i="3"/>
  <c r="E57" i="3"/>
  <c r="F55" i="3"/>
  <c r="BU33" i="3" s="1"/>
  <c r="BU31" i="3"/>
  <c r="F52" i="3"/>
  <c r="F25" i="3"/>
  <c r="BW15" i="3" s="1"/>
  <c r="E21" i="3"/>
  <c r="BU17" i="3" s="1"/>
  <c r="F23" i="3"/>
  <c r="E84" i="3"/>
  <c r="F88" i="3"/>
  <c r="E86" i="3"/>
  <c r="E17" i="3"/>
  <c r="F14" i="3"/>
  <c r="F12" i="3"/>
  <c r="E22" i="3"/>
  <c r="E24" i="3"/>
  <c r="F21" i="3"/>
  <c r="BU16" i="3" s="1"/>
  <c r="E29" i="3"/>
  <c r="BW21" i="3" s="1"/>
  <c r="F30" i="3"/>
  <c r="F33" i="3"/>
  <c r="BU19" i="3" s="1"/>
  <c r="E81" i="3"/>
  <c r="E79" i="3"/>
  <c r="F77" i="3"/>
  <c r="F61" i="3"/>
  <c r="BW36" i="3" s="1"/>
  <c r="E65" i="3"/>
  <c r="E63" i="3"/>
  <c r="E9" i="3"/>
  <c r="F4" i="3"/>
  <c r="F6" i="3"/>
  <c r="F79" i="3"/>
  <c r="BU45" i="3" s="1"/>
  <c r="BW43" i="3"/>
  <c r="E80" i="3"/>
  <c r="BU43" i="3"/>
  <c r="F76" i="3"/>
  <c r="BW42" i="3" s="1"/>
  <c r="F80" i="3"/>
  <c r="E77" i="3"/>
  <c r="BW45" i="3" s="1"/>
  <c r="F78" i="3"/>
  <c r="E61" i="3"/>
  <c r="BW37" i="3" s="1"/>
  <c r="F62" i="3"/>
  <c r="BU34" i="3" s="1"/>
  <c r="BU36" i="3"/>
  <c r="F64" i="3"/>
  <c r="BU35" i="3" s="1"/>
  <c r="F72" i="3"/>
  <c r="BU41" i="3" s="1"/>
  <c r="E68" i="3"/>
  <c r="BW39" i="3" s="1"/>
  <c r="BW38" i="3"/>
  <c r="BU38" i="3"/>
  <c r="E70" i="3"/>
  <c r="BU44" i="3" l="1"/>
  <c r="BU42" i="3"/>
  <c r="BW35" i="3"/>
  <c r="BU37" i="3"/>
  <c r="BU30" i="3"/>
  <c r="BU27" i="3"/>
  <c r="BU22" i="3"/>
  <c r="BW23" i="3"/>
  <c r="BW24" i="3"/>
  <c r="BU21"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0"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c r="H20" i="3" l="1"/>
  <c r="H23" i="3"/>
  <c r="H78" i="3"/>
  <c r="I20" i="3"/>
  <c r="H21" i="3"/>
  <c r="I5" i="3"/>
  <c r="I23"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46" i="3" l="1"/>
  <c r="CB14" i="3"/>
  <c r="CA14" i="3"/>
  <c r="CB19" i="3"/>
  <c r="CB53" i="3"/>
  <c r="CA45" i="3"/>
  <c r="CB45" i="3"/>
  <c r="CB46" i="3"/>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6" i="3" l="1"/>
  <c r="CC14"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4" i="3" l="1"/>
  <c r="L84" i="3"/>
  <c r="K93" i="3"/>
  <c r="L97" i="3"/>
  <c r="L87" i="3"/>
  <c r="K12" i="3"/>
  <c r="K24"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9" i="3" l="1"/>
  <c r="CF46" i="3"/>
  <c r="CF14" i="3"/>
  <c r="CF30" i="3"/>
  <c r="CF35"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O94" i="3"/>
  <c r="N96" i="3" l="1"/>
  <c r="O97" i="3"/>
  <c r="N95" i="3"/>
  <c r="O93" i="3"/>
  <c r="O95" i="3"/>
  <c r="CI42" i="3"/>
  <c r="O64" i="3"/>
  <c r="N56" i="3"/>
  <c r="O47" i="3"/>
  <c r="N61" i="3"/>
  <c r="O44" i="3"/>
  <c r="CI36" i="3"/>
  <c r="CI51" i="3"/>
  <c r="N29" i="3"/>
  <c r="CJ50" i="3"/>
  <c r="CI9" i="3"/>
  <c r="O55" i="3"/>
  <c r="O33" i="3"/>
  <c r="CJ19" i="3" s="1"/>
  <c r="N9" i="3"/>
  <c r="N36" i="3"/>
  <c r="O41" i="3"/>
  <c r="O4" i="3"/>
  <c r="O69" i="3"/>
  <c r="CK40" i="3" s="1"/>
  <c r="CI35" i="3"/>
  <c r="N72" i="3"/>
  <c r="CK21" i="3"/>
  <c r="O30" i="3"/>
  <c r="N32" i="3"/>
  <c r="CJ18" i="3" s="1"/>
  <c r="N7" i="3"/>
  <c r="O29" i="3"/>
  <c r="CI20" i="3" s="1"/>
  <c r="N49" i="3"/>
  <c r="N52" i="3"/>
  <c r="N54" i="3"/>
  <c r="N37" i="3"/>
  <c r="CI25" i="3" s="1"/>
  <c r="CI10" i="3"/>
  <c r="N8" i="3"/>
  <c r="CI6" i="3" s="1"/>
  <c r="CK22" i="3"/>
  <c r="CK41" i="3"/>
  <c r="O52" i="3"/>
  <c r="CI30" i="3" s="1"/>
  <c r="N97" i="3"/>
  <c r="O77" i="3"/>
  <c r="CI44" i="3" s="1"/>
  <c r="N80" i="3"/>
  <c r="N55" i="3"/>
  <c r="N81" i="3"/>
  <c r="N84" i="3"/>
  <c r="CI45" i="3"/>
  <c r="O5" i="3"/>
  <c r="CI8" i="3" s="1"/>
  <c r="N47" i="3"/>
  <c r="CK46" i="3"/>
  <c r="CI33" i="3"/>
  <c r="O53" i="3"/>
  <c r="O79" i="3"/>
  <c r="N6" i="3"/>
  <c r="N86" i="3"/>
  <c r="O32" i="3"/>
  <c r="CI12" i="3"/>
  <c r="CI43" i="3"/>
  <c r="N88" i="3"/>
  <c r="N30" i="3"/>
  <c r="CK6" i="3"/>
  <c r="CK18" i="3"/>
  <c r="CI18" i="3"/>
  <c r="CK25" i="3"/>
  <c r="N73" i="3"/>
  <c r="N15" i="3"/>
  <c r="CI37" i="3"/>
  <c r="CI11" i="3"/>
  <c r="O96" i="3"/>
  <c r="CJ53" i="3" s="1"/>
  <c r="CL53" i="3" s="1"/>
  <c r="CK34" i="3"/>
  <c r="CK8" i="3"/>
  <c r="CI39" i="3"/>
  <c r="CK30" i="3"/>
  <c r="N68" i="3"/>
  <c r="CK39" i="3" s="1"/>
  <c r="CK50" i="3"/>
  <c r="O40" i="3"/>
  <c r="O15" i="3"/>
  <c r="N65" i="3"/>
  <c r="O9" i="3"/>
  <c r="CI7" i="3" s="1"/>
  <c r="CI23" i="3"/>
  <c r="O36" i="3"/>
  <c r="CJ22" i="3" s="1"/>
  <c r="O61" i="3"/>
  <c r="CJ36" i="3" s="1"/>
  <c r="CL36" i="3" s="1"/>
  <c r="CI47" i="3"/>
  <c r="CK37" i="3"/>
  <c r="N13" i="3"/>
  <c r="O68" i="3"/>
  <c r="O57" i="3"/>
  <c r="O65" i="3"/>
  <c r="N40" i="3"/>
  <c r="O31" i="3"/>
  <c r="CJ21" i="3" s="1"/>
  <c r="N92" i="3"/>
  <c r="CK51" i="3" s="1"/>
  <c r="CK12" i="3"/>
  <c r="N77" i="3"/>
  <c r="CK45" i="3" s="1"/>
  <c r="CK44"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33" i="3" s="1"/>
  <c r="CK28" i="3"/>
  <c r="CK48" i="3"/>
  <c r="N85" i="3"/>
  <c r="N44" i="3"/>
  <c r="CK27" i="3" s="1"/>
  <c r="N12" i="3"/>
  <c r="O54" i="3"/>
  <c r="O89" i="3"/>
  <c r="O56" i="3"/>
  <c r="N24" i="3"/>
  <c r="O46" i="3"/>
  <c r="CI28" i="3"/>
  <c r="O21" i="3"/>
  <c r="CI16" i="3" s="1"/>
  <c r="N45" i="3"/>
  <c r="CK29" i="3" s="1"/>
  <c r="CK32" i="3"/>
  <c r="N16" i="3"/>
  <c r="CI48" i="3"/>
  <c r="CK26" i="3"/>
  <c r="CJ48" i="3"/>
  <c r="O20" i="3"/>
  <c r="N33" i="3"/>
  <c r="CK10" i="3"/>
  <c r="N69" i="3"/>
  <c r="O73" i="3"/>
  <c r="O60" i="3"/>
  <c r="CI34" i="3" s="1"/>
  <c r="O63" i="3"/>
  <c r="CI40" i="3"/>
  <c r="O70" i="3"/>
  <c r="CK17" i="3"/>
  <c r="N22" i="3"/>
  <c r="CK42" i="3"/>
  <c r="N78" i="3"/>
  <c r="O81" i="3"/>
  <c r="CI13" i="3"/>
  <c r="N14" i="3"/>
  <c r="CK13" i="3"/>
  <c r="N23" i="3"/>
  <c r="N20" i="3"/>
  <c r="O24" i="3"/>
  <c r="N17" i="3"/>
  <c r="O14" i="3"/>
  <c r="CK53" i="3"/>
  <c r="CK14" i="3"/>
  <c r="CK49" i="3"/>
  <c r="CK31" i="3"/>
  <c r="CI32" i="3" l="1"/>
  <c r="CI49" i="3"/>
  <c r="CK47" i="3"/>
  <c r="CK43" i="3"/>
  <c r="CI38" i="3"/>
  <c r="CI41" i="3"/>
  <c r="CI15" i="3"/>
  <c r="CK36" i="3"/>
  <c r="CI27" i="3"/>
  <c r="CK23" i="3"/>
  <c r="CI22" i="3"/>
  <c r="CL22" i="3" s="1"/>
  <c r="CK24" i="3"/>
  <c r="CI21" i="3"/>
  <c r="CK20" i="3"/>
  <c r="CI14" i="3"/>
  <c r="CK11" i="3"/>
  <c r="CL50" i="3"/>
  <c r="CJ30" i="3"/>
  <c r="CL30" i="3" s="1"/>
  <c r="CJ32" i="3"/>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L32" i="3"/>
  <c r="CL15" i="3"/>
  <c r="CL14" i="3"/>
  <c r="CM45" i="3"/>
  <c r="CM50" i="3"/>
  <c r="CM53" i="3"/>
  <c r="CM48" i="3"/>
  <c r="CM16" i="3"/>
  <c r="CM40" i="3"/>
  <c r="CM17" i="3"/>
  <c r="CM34" i="3"/>
  <c r="CM31" i="3"/>
  <c r="CM33" i="3"/>
  <c r="CM47" i="3"/>
  <c r="CM22" i="3"/>
  <c r="CM43" i="3"/>
  <c r="CM21" i="3"/>
  <c r="CM35" i="3"/>
  <c r="CM18" i="3"/>
  <c r="CM20" i="3"/>
  <c r="CM44" i="3"/>
  <c r="CM26" i="3"/>
  <c r="CM38" i="3"/>
  <c r="CM42" i="3"/>
  <c r="CM19" i="3"/>
  <c r="CM28" i="3"/>
  <c r="CM24" i="3"/>
  <c r="CM11" i="3"/>
  <c r="CM13" i="3"/>
  <c r="CM12" i="3"/>
  <c r="CM10" i="3"/>
  <c r="CM9" i="3"/>
  <c r="CM8" i="3"/>
  <c r="CM7" i="3"/>
  <c r="CM6" i="3"/>
  <c r="CM29" i="3"/>
  <c r="CM39" i="3"/>
  <c r="CM41" i="3"/>
  <c r="CM51" i="3"/>
  <c r="CM36" i="3"/>
  <c r="CM27" i="3"/>
  <c r="CM25" i="3"/>
  <c r="CM23" i="3"/>
  <c r="CM52" i="3"/>
  <c r="CM37" i="3"/>
  <c r="CM14" i="3" l="1"/>
  <c r="CM46" i="3"/>
  <c r="CM30" i="3"/>
  <c r="CM32" i="3"/>
  <c r="CM15" i="3"/>
  <c r="CM49" i="3"/>
  <c r="CN15" i="3" l="1"/>
  <c r="Q25" i="3" s="1"/>
  <c r="CN38" i="3"/>
  <c r="Q70" i="3" s="1"/>
  <c r="CN30" i="3"/>
  <c r="R57" i="3" s="1"/>
  <c r="CN52" i="3"/>
  <c r="R97" i="3" s="1"/>
  <c r="CN27" i="3"/>
  <c r="R47" i="3" s="1"/>
  <c r="CN40" i="3"/>
  <c r="R73" i="3" s="1"/>
  <c r="CN18" i="3"/>
  <c r="Q28" i="3" s="1"/>
  <c r="CN24" i="3"/>
  <c r="Q37" i="3" s="1"/>
  <c r="CN39" i="3"/>
  <c r="R71" i="3" s="1"/>
  <c r="CN34" i="3"/>
  <c r="R65" i="3" s="1"/>
  <c r="CN23" i="3"/>
  <c r="R36" i="3" s="1"/>
  <c r="CN6" i="3"/>
  <c r="Q7" i="3" s="1"/>
  <c r="CN45" i="3"/>
  <c r="Q79" i="3" s="1"/>
  <c r="CN41" i="3"/>
  <c r="Q71" i="3" s="1"/>
  <c r="CN9" i="3"/>
  <c r="Q6" i="3" s="1"/>
  <c r="CN46" i="3"/>
  <c r="Q84" i="3" s="1"/>
  <c r="CN50" i="3"/>
  <c r="Q94" i="3" s="1"/>
  <c r="CN25" i="3"/>
  <c r="Q39" i="3" s="1"/>
  <c r="CN29" i="3"/>
  <c r="Q47" i="3" s="1"/>
  <c r="CN20" i="3"/>
  <c r="R33" i="3" s="1"/>
  <c r="CN22" i="3"/>
  <c r="Q36" i="3" s="1"/>
  <c r="CN14" i="3"/>
  <c r="Q20" i="3" s="1"/>
  <c r="CN51" i="3"/>
  <c r="R92" i="3" s="1"/>
  <c r="CN11" i="3"/>
  <c r="R14" i="3" s="1"/>
  <c r="CN35" i="3"/>
  <c r="R63" i="3" s="1"/>
  <c r="CN31" i="3"/>
  <c r="R52" i="3" s="1"/>
  <c r="CN53" i="3"/>
  <c r="Q95" i="3" s="1"/>
  <c r="CN12" i="3"/>
  <c r="R15" i="3" s="1"/>
  <c r="CN42" i="3"/>
  <c r="Q76" i="3" s="1"/>
  <c r="CN28" i="3"/>
  <c r="R46" i="3" s="1"/>
  <c r="CN19" i="3"/>
  <c r="Q33" i="3" s="1"/>
  <c r="CN13" i="3"/>
  <c r="R13" i="3" s="1"/>
  <c r="CN21" i="3"/>
  <c r="Q32" i="3" s="1"/>
  <c r="CN8" i="3"/>
  <c r="Q5" i="3" s="1"/>
  <c r="CN16" i="3"/>
  <c r="R25" i="3" s="1"/>
  <c r="CN17" i="3"/>
  <c r="Q24" i="3" s="1"/>
  <c r="CN10" i="3"/>
  <c r="Q15" i="3" s="1"/>
  <c r="CN49" i="3"/>
  <c r="Q87" i="3" s="1"/>
  <c r="CN26" i="3"/>
  <c r="Q44" i="3" s="1"/>
  <c r="CN33" i="3"/>
  <c r="Q57" i="3" s="1"/>
  <c r="CN43" i="3"/>
  <c r="R76" i="3" s="1"/>
  <c r="CN36" i="3"/>
  <c r="R64" i="3" s="1"/>
  <c r="CN44" i="3"/>
  <c r="Q77" i="3" s="1"/>
  <c r="CN37" i="3"/>
  <c r="R61" i="3" s="1"/>
  <c r="CN7" i="3"/>
  <c r="R4" i="3" s="1"/>
  <c r="CN47" i="3"/>
  <c r="Q89" i="3" s="1"/>
  <c r="CN48" i="3"/>
  <c r="CN32" i="3"/>
  <c r="Q53" i="3" s="1"/>
  <c r="R96" i="3"/>
  <c r="R72" i="3"/>
  <c r="R20" i="3" l="1"/>
  <c r="R68" i="3"/>
  <c r="R22" i="3"/>
  <c r="Q49" i="3"/>
  <c r="Q68" i="3"/>
  <c r="Q72" i="3"/>
  <c r="R37" i="3"/>
  <c r="R5" i="3"/>
  <c r="Q8" i="3"/>
  <c r="R28" i="3"/>
  <c r="Q55" i="3"/>
  <c r="Q52" i="3"/>
  <c r="R95" i="3"/>
  <c r="Q21" i="3"/>
  <c r="R45" i="3"/>
  <c r="Q97" i="3"/>
  <c r="R32" i="3"/>
  <c r="Q30" i="3"/>
  <c r="CP23" i="3"/>
  <c r="Q54" i="3"/>
  <c r="Q40" i="3"/>
  <c r="R39" i="3"/>
  <c r="R93" i="3"/>
  <c r="Q46" i="3"/>
  <c r="R23" i="3"/>
  <c r="CP14" i="3" s="1"/>
  <c r="R49" i="3"/>
  <c r="R31" i="3"/>
  <c r="Q96" i="3"/>
  <c r="R94" i="3"/>
  <c r="Q92" i="3"/>
  <c r="CP51" i="3" s="1"/>
  <c r="R21" i="3"/>
  <c r="Q93" i="3"/>
  <c r="CP53" i="3" s="1"/>
  <c r="Q13" i="3"/>
  <c r="Q14" i="3"/>
  <c r="CO12" i="3"/>
  <c r="R30" i="3"/>
  <c r="CO18" i="3" s="1"/>
  <c r="R38" i="3"/>
  <c r="R17" i="3"/>
  <c r="CP12" i="3"/>
  <c r="Q22" i="3"/>
  <c r="CO15" i="3" s="1"/>
  <c r="R88" i="3"/>
  <c r="Q16" i="3"/>
  <c r="CO10" i="3" s="1"/>
  <c r="R40" i="3"/>
  <c r="CO23" i="3" s="1"/>
  <c r="Q4" i="3"/>
  <c r="Q29" i="3"/>
  <c r="R53" i="3"/>
  <c r="CO53" i="3"/>
  <c r="R8" i="3"/>
  <c r="CO9" i="3" s="1"/>
  <c r="Q86" i="3"/>
  <c r="Q63" i="3"/>
  <c r="CO35" i="3" s="1"/>
  <c r="CP20" i="3"/>
  <c r="Q17" i="3"/>
  <c r="Q65" i="3"/>
  <c r="R56" i="3"/>
  <c r="R16" i="3"/>
  <c r="R29" i="3"/>
  <c r="CO47" i="3"/>
  <c r="Q64" i="3"/>
  <c r="CP36" i="3" s="1"/>
  <c r="Q81" i="3"/>
  <c r="CP42" i="3" s="1"/>
  <c r="Q31" i="3"/>
  <c r="CO19" i="3" s="1"/>
  <c r="CO22" i="3"/>
  <c r="R60" i="3"/>
  <c r="Q48" i="3"/>
  <c r="CP50" i="3"/>
  <c r="Q73" i="3"/>
  <c r="R41" i="3"/>
  <c r="Q38" i="3"/>
  <c r="Q78" i="3"/>
  <c r="R44" i="3"/>
  <c r="R81" i="3"/>
  <c r="R12" i="3"/>
  <c r="CP45" i="3"/>
  <c r="R77" i="3"/>
  <c r="CP39" i="3"/>
  <c r="Q12" i="3"/>
  <c r="CP22" i="3"/>
  <c r="Q45" i="3"/>
  <c r="Q56" i="3"/>
  <c r="R87" i="3"/>
  <c r="R54" i="3"/>
  <c r="CP30" i="3" s="1"/>
  <c r="Q41" i="3"/>
  <c r="R24" i="3"/>
  <c r="R84" i="3"/>
  <c r="Q69" i="3"/>
  <c r="Q62" i="3"/>
  <c r="R9" i="3"/>
  <c r="Q23" i="3"/>
  <c r="R69" i="3"/>
  <c r="R70" i="3"/>
  <c r="Q60" i="3"/>
  <c r="Q85" i="3"/>
  <c r="R89" i="3"/>
  <c r="CP43" i="3"/>
  <c r="CP47" i="3"/>
  <c r="R85" i="3"/>
  <c r="R79" i="3"/>
  <c r="CO45" i="3" s="1"/>
  <c r="Q80" i="3"/>
  <c r="R48" i="3"/>
  <c r="CO27" i="3" s="1"/>
  <c r="CO8" i="3"/>
  <c r="R55" i="3"/>
  <c r="CP33" i="3" s="1"/>
  <c r="CO43" i="3"/>
  <c r="Q88" i="3"/>
  <c r="R7" i="3"/>
  <c r="R6" i="3"/>
  <c r="Q61" i="3"/>
  <c r="CP37" i="3" s="1"/>
  <c r="Q9" i="3"/>
  <c r="R62" i="3"/>
  <c r="R80" i="3"/>
  <c r="R78" i="3"/>
  <c r="R86" i="3"/>
  <c r="CP44" i="3"/>
  <c r="CO26" i="3"/>
  <c r="CP35" i="3"/>
  <c r="CQ35" i="3" s="1"/>
  <c r="CP34" i="3"/>
  <c r="CP48" i="3"/>
  <c r="CO24" i="3"/>
  <c r="CO37" i="3"/>
  <c r="CQ37" i="3" s="1"/>
  <c r="CP38" i="3"/>
  <c r="CO34" i="3"/>
  <c r="CO50" i="3"/>
  <c r="CQ22" i="3"/>
  <c r="CP40" i="3"/>
  <c r="CQ43" i="3"/>
  <c r="CP24" i="3"/>
  <c r="CO21" i="3"/>
  <c r="CO40" i="3"/>
  <c r="CO48" i="3"/>
  <c r="CO11" i="3"/>
  <c r="CO38" i="3"/>
  <c r="CP31" i="3"/>
  <c r="CP16" i="3"/>
  <c r="CO42" i="3"/>
  <c r="CQ42" i="3" s="1"/>
  <c r="CP10" i="3"/>
  <c r="CQ10" i="3" s="1"/>
  <c r="CO44" i="3"/>
  <c r="CQ44" i="3" s="1"/>
  <c r="CO31" i="3"/>
  <c r="CP28" i="3"/>
  <c r="CP17" i="3"/>
  <c r="CO28" i="3"/>
  <c r="CP26" i="3"/>
  <c r="CQ26" i="3" s="1"/>
  <c r="CP9" i="3"/>
  <c r="CQ9" i="3" s="1"/>
  <c r="CP13" i="3"/>
  <c r="CO17" i="3"/>
  <c r="CP21" i="3"/>
  <c r="CP18" i="3"/>
  <c r="CQ18" i="3" s="1"/>
  <c r="CO16" i="3"/>
  <c r="CO20" i="3"/>
  <c r="CQ20" i="3" s="1"/>
  <c r="CP19" i="3"/>
  <c r="CQ19" i="3" s="1"/>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O14" i="3" l="1"/>
  <c r="CQ14" i="3" s="1"/>
  <c r="CP32" i="3"/>
  <c r="CP15" i="3"/>
  <c r="CQ15" i="3" s="1"/>
  <c r="CP49" i="3"/>
  <c r="CQ50" i="3"/>
  <c r="CO49" i="3"/>
  <c r="CO32" i="3"/>
  <c r="CP46" i="3"/>
  <c r="CO30" i="3"/>
  <c r="CQ30" i="3" s="1"/>
  <c r="CO46" i="3"/>
  <c r="CQ24" i="3"/>
  <c r="CQ48" i="3"/>
  <c r="CQ34" i="3"/>
  <c r="CQ21" i="3"/>
  <c r="CQ16" i="3"/>
  <c r="CQ40" i="3"/>
  <c r="CQ38" i="3"/>
  <c r="CQ11" i="3"/>
  <c r="CQ31" i="3"/>
  <c r="CQ28" i="3"/>
  <c r="CQ13" i="3"/>
  <c r="CQ17" i="3"/>
  <c r="CQ7" i="3"/>
  <c r="CQ6" i="3"/>
  <c r="CQ41" i="3"/>
  <c r="CQ52" i="3"/>
  <c r="CQ29" i="3"/>
  <c r="CQ25" i="3"/>
  <c r="CQ32" i="3" l="1"/>
  <c r="CQ49" i="3"/>
  <c r="CQ46" i="3"/>
  <c r="CR50" i="3" s="1"/>
  <c r="CR53" i="3"/>
  <c r="CR47" i="3"/>
  <c r="CR48" i="3"/>
  <c r="CR21" i="3"/>
  <c r="CR31" i="3"/>
  <c r="CR26" i="3"/>
  <c r="CR41" i="3"/>
  <c r="CR45" i="3"/>
  <c r="CR44" i="3"/>
  <c r="CR43" i="3"/>
  <c r="CR42" i="3"/>
  <c r="CR38" i="3"/>
  <c r="CR33" i="3"/>
  <c r="CR40" i="3"/>
  <c r="CR39" i="3"/>
  <c r="CR19" i="3"/>
  <c r="CR35" i="3"/>
  <c r="CR34" i="3"/>
  <c r="CR24" i="3"/>
  <c r="CR36" i="3"/>
  <c r="CR22" i="3"/>
  <c r="CR28" i="3"/>
  <c r="CR17" i="3"/>
  <c r="CR20" i="3"/>
  <c r="CR16" i="3"/>
  <c r="CR18" i="3"/>
  <c r="CR10" i="3"/>
  <c r="CR7" i="3"/>
  <c r="CR11" i="3"/>
  <c r="CR9" i="3"/>
  <c r="CR6" i="3"/>
  <c r="CR8" i="3"/>
  <c r="CR27" i="3"/>
  <c r="CR13" i="3"/>
  <c r="CR12" i="3"/>
  <c r="CR29" i="3"/>
  <c r="CR37" i="3"/>
  <c r="CR23" i="3"/>
  <c r="CR25" i="3"/>
  <c r="CR51" i="3"/>
  <c r="CR52" i="3"/>
  <c r="CR32" i="3" l="1"/>
  <c r="CR14" i="3"/>
  <c r="CR46" i="3"/>
  <c r="CR15" i="3"/>
  <c r="CR30" i="3"/>
  <c r="CR49" i="3"/>
  <c r="CS30" i="3" l="1"/>
  <c r="T52" i="3" s="1"/>
  <c r="CS12" i="3"/>
  <c r="T13" i="3" s="1"/>
  <c r="CS8" i="3"/>
  <c r="U9" i="3" s="1"/>
  <c r="CS52" i="3"/>
  <c r="T93" i="3" s="1"/>
  <c r="CS37" i="3"/>
  <c r="T63" i="3" s="1"/>
  <c r="CS47" i="3"/>
  <c r="U84" i="3" s="1"/>
  <c r="CS13" i="3"/>
  <c r="T14" i="3" s="1"/>
  <c r="CS18" i="3"/>
  <c r="T30" i="3" s="1"/>
  <c r="CS20" i="3"/>
  <c r="U30" i="3" s="1"/>
  <c r="CS46" i="3"/>
  <c r="U88" i="3" s="1"/>
  <c r="CS16" i="3"/>
  <c r="U23" i="3" s="1"/>
  <c r="CS7" i="3"/>
  <c r="U4" i="3" s="1"/>
  <c r="CS33" i="3"/>
  <c r="U53" i="3" s="1"/>
  <c r="CS11" i="3"/>
  <c r="T17" i="3" s="1"/>
  <c r="CS26" i="3"/>
  <c r="T46" i="3" s="1"/>
  <c r="CS6" i="3"/>
  <c r="U8" i="3" s="1"/>
  <c r="CS31" i="3"/>
  <c r="U55" i="3" s="1"/>
  <c r="CS49" i="3"/>
  <c r="U85" i="3" s="1"/>
  <c r="CS43" i="3"/>
  <c r="T80" i="3" s="1"/>
  <c r="CS44" i="3"/>
  <c r="U80" i="3" s="1"/>
  <c r="CS23" i="3"/>
  <c r="T40" i="3" s="1"/>
  <c r="CS40" i="3"/>
  <c r="U70" i="3" s="1"/>
  <c r="CS42" i="3"/>
  <c r="T78" i="3" s="1"/>
  <c r="CS22" i="3"/>
  <c r="T38" i="3" s="1"/>
  <c r="CS35" i="3"/>
  <c r="U63" i="3" s="1"/>
  <c r="CS10" i="3"/>
  <c r="T15" i="3" s="1"/>
  <c r="CS24" i="3"/>
  <c r="T37" i="3" s="1"/>
  <c r="CS14" i="3"/>
  <c r="U24" i="3" s="1"/>
  <c r="CS34" i="3"/>
  <c r="U65" i="3" s="1"/>
  <c r="CS38" i="3"/>
  <c r="T70" i="3" s="1"/>
  <c r="CS9" i="3"/>
  <c r="U5" i="3" s="1"/>
  <c r="CS45" i="3"/>
  <c r="T79" i="3" s="1"/>
  <c r="CS39" i="3"/>
  <c r="U71" i="3" s="1"/>
  <c r="CS48" i="3"/>
  <c r="U89" i="3" s="1"/>
  <c r="CS36" i="3"/>
  <c r="U62" i="3" s="1"/>
  <c r="CS53" i="3"/>
  <c r="T95" i="3" s="1"/>
  <c r="CS15" i="3"/>
  <c r="U22" i="3" s="1"/>
  <c r="CS19" i="3"/>
  <c r="U31" i="3" s="1"/>
  <c r="CS29" i="3"/>
  <c r="U45" i="3" s="1"/>
  <c r="CS50" i="3"/>
  <c r="T92" i="3" s="1"/>
  <c r="CS28" i="3"/>
  <c r="U48" i="3" s="1"/>
  <c r="CS21" i="3"/>
  <c r="T31" i="3" s="1"/>
  <c r="CS27" i="3"/>
  <c r="U47" i="3" s="1"/>
  <c r="CS17" i="3"/>
  <c r="T22" i="3" s="1"/>
  <c r="CS41" i="3"/>
  <c r="T71" i="3" s="1"/>
  <c r="CS51" i="3"/>
  <c r="U92" i="3" s="1"/>
  <c r="CS32" i="3"/>
  <c r="U56" i="3" s="1"/>
  <c r="CS25" i="3"/>
  <c r="T39" i="3" s="1"/>
  <c r="U57" i="3"/>
  <c r="U15" i="3"/>
  <c r="CT31" i="3" l="1"/>
  <c r="T54" i="3"/>
  <c r="U25" i="3"/>
  <c r="T6" i="3"/>
  <c r="U44" i="3"/>
  <c r="T16" i="3"/>
  <c r="U81" i="3"/>
  <c r="U76" i="3"/>
  <c r="T5" i="3"/>
  <c r="T49" i="3"/>
  <c r="U54" i="3"/>
  <c r="U64" i="3"/>
  <c r="U17" i="3"/>
  <c r="T9" i="3"/>
  <c r="T48" i="3"/>
  <c r="T44" i="3"/>
  <c r="U49" i="3"/>
  <c r="T8" i="3"/>
  <c r="T61" i="3"/>
  <c r="T47" i="3"/>
  <c r="CT43" i="3"/>
  <c r="U79" i="3"/>
  <c r="T76" i="3"/>
  <c r="U13" i="3"/>
  <c r="CT12" i="3" s="1"/>
  <c r="U7" i="3"/>
  <c r="T21" i="3"/>
  <c r="U6" i="3"/>
  <c r="U97" i="3"/>
  <c r="U78" i="3"/>
  <c r="U77" i="3"/>
  <c r="CT44" i="3" s="1"/>
  <c r="T7" i="3"/>
  <c r="T96" i="3"/>
  <c r="U94" i="3"/>
  <c r="T20" i="3"/>
  <c r="T77" i="3"/>
  <c r="T4" i="3"/>
  <c r="CT7" i="3" s="1"/>
  <c r="T23" i="3"/>
  <c r="U93" i="3"/>
  <c r="T97" i="3"/>
  <c r="U41" i="3"/>
  <c r="T28" i="3"/>
  <c r="U96" i="3"/>
  <c r="CT53" i="3" s="1"/>
  <c r="T81" i="3"/>
  <c r="T36" i="3"/>
  <c r="U32" i="3"/>
  <c r="T53" i="3"/>
  <c r="U52" i="3"/>
  <c r="CT33" i="3"/>
  <c r="CT23" i="3"/>
  <c r="T29" i="3"/>
  <c r="U33" i="3"/>
  <c r="U36" i="3"/>
  <c r="CT22" i="3" s="1"/>
  <c r="T41" i="3"/>
  <c r="CT17" i="3"/>
  <c r="U61" i="3"/>
  <c r="T57" i="3"/>
  <c r="U14" i="3"/>
  <c r="U95" i="3"/>
  <c r="T33" i="3"/>
  <c r="U87" i="3"/>
  <c r="T84" i="3"/>
  <c r="T60" i="3"/>
  <c r="CT35" i="3" s="1"/>
  <c r="T55" i="3"/>
  <c r="T65" i="3"/>
  <c r="U39" i="3"/>
  <c r="T94" i="3"/>
  <c r="CT52" i="3" s="1"/>
  <c r="T64" i="3"/>
  <c r="T24" i="3"/>
  <c r="CT37" i="3"/>
  <c r="CT25" i="3"/>
  <c r="U21" i="3"/>
  <c r="U37" i="3"/>
  <c r="CT24" i="3" s="1"/>
  <c r="T89" i="3"/>
  <c r="U72" i="3"/>
  <c r="U20" i="3"/>
  <c r="U86" i="3"/>
  <c r="U68" i="3"/>
  <c r="U12" i="3"/>
  <c r="CT11" i="3"/>
  <c r="T68" i="3"/>
  <c r="T87" i="3"/>
  <c r="CT47" i="3" s="1"/>
  <c r="T86" i="3"/>
  <c r="CT50" i="3"/>
  <c r="T85" i="3"/>
  <c r="U16" i="3"/>
  <c r="T12" i="3"/>
  <c r="CT40" i="3"/>
  <c r="T45" i="3"/>
  <c r="T62" i="3"/>
  <c r="CT34" i="3"/>
  <c r="CT38" i="3"/>
  <c r="U60" i="3"/>
  <c r="T56" i="3"/>
  <c r="T32" i="3"/>
  <c r="T69" i="3"/>
  <c r="CT51" i="3"/>
  <c r="U28" i="3"/>
  <c r="U73" i="3"/>
  <c r="U46" i="3"/>
  <c r="CT28" i="3"/>
  <c r="T25" i="3"/>
  <c r="U69" i="3"/>
  <c r="T72" i="3"/>
  <c r="U29" i="3"/>
  <c r="T88" i="3"/>
  <c r="T73" i="3"/>
  <c r="CT19" i="3"/>
  <c r="U40" i="3"/>
  <c r="U38" i="3"/>
  <c r="CT21" i="3"/>
  <c r="CT48" i="3"/>
  <c r="CT6" i="3"/>
  <c r="CT42" i="3"/>
  <c r="CT45" i="3"/>
  <c r="CT20" i="3"/>
  <c r="CT26" i="3"/>
  <c r="CT18" i="3"/>
  <c r="CT16" i="3"/>
  <c r="CT13" i="3"/>
  <c r="CT27" i="3"/>
  <c r="CT41" i="3"/>
  <c r="CT39" i="3"/>
  <c r="CT10" i="3"/>
  <c r="CT29" i="3"/>
  <c r="CT9" i="3"/>
  <c r="CT36" i="3"/>
  <c r="CT8" i="3"/>
  <c r="CT15" i="3" l="1"/>
  <c r="CT32" i="3"/>
  <c r="CT49" i="3"/>
  <c r="CT30" i="3"/>
  <c r="CT14" i="3"/>
  <c r="CT46" i="3"/>
  <c r="CU53" i="3"/>
  <c r="CU43" i="3"/>
  <c r="CU47" i="3"/>
  <c r="CU48" i="3"/>
  <c r="CU45" i="3"/>
  <c r="CU44" i="3"/>
  <c r="CU24" i="3"/>
  <c r="CU41" i="3"/>
  <c r="CU21" i="3"/>
  <c r="CU27" i="3"/>
  <c r="CU38" i="3"/>
  <c r="CU10" i="3"/>
  <c r="CU26" i="3"/>
  <c r="CU20" i="3"/>
  <c r="CU35" i="3"/>
  <c r="CU50" i="3"/>
  <c r="CU31" i="3"/>
  <c r="CU18" i="3"/>
  <c r="CU11" i="3"/>
  <c r="CU19" i="3"/>
  <c r="CU33" i="3"/>
  <c r="CU42" i="3"/>
  <c r="CU34" i="3"/>
  <c r="CU17" i="3"/>
  <c r="CU12" i="3"/>
  <c r="CU16" i="3"/>
  <c r="CU40" i="3"/>
  <c r="CU28" i="3"/>
  <c r="CU22" i="3"/>
  <c r="CU29" i="3"/>
  <c r="CU39" i="3"/>
  <c r="CU8" i="3"/>
  <c r="CU25" i="3"/>
  <c r="CU37" i="3"/>
  <c r="CU23" i="3"/>
  <c r="CU9" i="3"/>
  <c r="CU51" i="3"/>
  <c r="CU7" i="3"/>
  <c r="CU6" i="3"/>
  <c r="CU52" i="3"/>
  <c r="CU13" i="3"/>
  <c r="CU36" i="3"/>
  <c r="CU46" i="3" l="1"/>
  <c r="CU15" i="3"/>
  <c r="CU32" i="3"/>
  <c r="CU49" i="3"/>
  <c r="CU30" i="3"/>
  <c r="CU14" i="3"/>
  <c r="CV28" i="3" l="1"/>
  <c r="CW28" i="3" s="1"/>
  <c r="CV49" i="3"/>
  <c r="CW49" i="3" s="1"/>
  <c r="CV31" i="3"/>
  <c r="CW31" i="3" s="1"/>
  <c r="CV32" i="3"/>
  <c r="CW32" i="3" s="1"/>
  <c r="CV37" i="3"/>
  <c r="CW37" i="3" s="1"/>
  <c r="CV16" i="3"/>
  <c r="CW16" i="3" s="1"/>
  <c r="CV35" i="3"/>
  <c r="CW35" i="3" s="1"/>
  <c r="CV10" i="3"/>
  <c r="CW10" i="3" s="1"/>
  <c r="CV36" i="3"/>
  <c r="CW36" i="3" s="1"/>
  <c r="CV21" i="3"/>
  <c r="CW21" i="3" s="1"/>
  <c r="CV22" i="3"/>
  <c r="CW22" i="3" s="1"/>
  <c r="CV11" i="3"/>
  <c r="CW11" i="3" s="1"/>
  <c r="CV20" i="3"/>
  <c r="CW20" i="3" s="1"/>
  <c r="CV47" i="3"/>
  <c r="CW47" i="3" s="1"/>
  <c r="CV25" i="3"/>
  <c r="CW25" i="3" s="1"/>
  <c r="CV42" i="3"/>
  <c r="CW42" i="3" s="1"/>
  <c r="CV17" i="3"/>
  <c r="CW17" i="3" s="1"/>
  <c r="CV38" i="3"/>
  <c r="CW38" i="3" s="1"/>
  <c r="CV26" i="3"/>
  <c r="CW26" i="3" s="1"/>
  <c r="CV53" i="3"/>
  <c r="CW53" i="3" s="1"/>
  <c r="CV46" i="3"/>
  <c r="CW46" i="3" s="1"/>
  <c r="CV29" i="3"/>
  <c r="CW29" i="3" s="1"/>
  <c r="CV9" i="3"/>
  <c r="CW9" i="3" s="1"/>
  <c r="CV30" i="3"/>
  <c r="CW30" i="3" s="1"/>
  <c r="CV13" i="3"/>
  <c r="CW13" i="3" s="1"/>
  <c r="CV45" i="3"/>
  <c r="CW45" i="3" s="1"/>
  <c r="CV8" i="3"/>
  <c r="CW8" i="3" s="1"/>
  <c r="CV41" i="3"/>
  <c r="CW41" i="3" s="1"/>
  <c r="CV23" i="3"/>
  <c r="CW23" i="3" s="1"/>
  <c r="CV40" i="3"/>
  <c r="CW40" i="3" s="1"/>
  <c r="CV15" i="3"/>
  <c r="CW15" i="3" s="1"/>
  <c r="CV12" i="3"/>
  <c r="CW12" i="3" s="1"/>
  <c r="CV48" i="3"/>
  <c r="CW48" i="3" s="1"/>
  <c r="CV34" i="3"/>
  <c r="CW34" i="3" s="1"/>
  <c r="CV52" i="3"/>
  <c r="CW52" i="3" s="1"/>
  <c r="CV7" i="3"/>
  <c r="CW7" i="3" s="1"/>
  <c r="CV24" i="3"/>
  <c r="CW24" i="3" s="1"/>
  <c r="CV14" i="3"/>
  <c r="CW14" i="3" s="1"/>
  <c r="CV27" i="3"/>
  <c r="CW27" i="3" s="1"/>
  <c r="CV50" i="3"/>
  <c r="CW50" i="3" s="1"/>
  <c r="CV43" i="3"/>
  <c r="CW43" i="3" s="1"/>
  <c r="CV6" i="3"/>
  <c r="CW6" i="3" s="1"/>
  <c r="CV39" i="3"/>
  <c r="CW39" i="3" s="1"/>
  <c r="CV44" i="3"/>
  <c r="CW44" i="3" s="1"/>
  <c r="CV33" i="3"/>
  <c r="CW33" i="3" s="1"/>
  <c r="CV19" i="3"/>
  <c r="CW19" i="3" s="1"/>
  <c r="CV18" i="3"/>
  <c r="CW18" i="3" s="1"/>
  <c r="CV51" i="3"/>
  <c r="CW51" i="3" s="1"/>
  <c r="CX14" i="3" l="1"/>
  <c r="CX23" i="3"/>
  <c r="CX40" i="3"/>
  <c r="CX11" i="3"/>
  <c r="CX39" i="3"/>
  <c r="CX27" i="3"/>
  <c r="CX10" i="3"/>
  <c r="CX35" i="3"/>
  <c r="CX26" i="3"/>
  <c r="CX49" i="3"/>
  <c r="CX36" i="3"/>
  <c r="CX46" i="3"/>
  <c r="CX18" i="3"/>
  <c r="CX53" i="3"/>
  <c r="CX50" i="3"/>
  <c r="CX31" i="3"/>
  <c r="CX33" i="3"/>
  <c r="CX42" i="3"/>
  <c r="CX12" i="3"/>
  <c r="CX48" i="3"/>
  <c r="CX7" i="3"/>
  <c r="CX24" i="3"/>
  <c r="CX43" i="3"/>
  <c r="CX6" i="3"/>
  <c r="CX47" i="3"/>
  <c r="CX28" i="3"/>
  <c r="CX22" i="3"/>
  <c r="CX45" i="3"/>
  <c r="CX30" i="3"/>
  <c r="CX32" i="3"/>
  <c r="CX51" i="3"/>
  <c r="CX20" i="3"/>
  <c r="CX44" i="3"/>
  <c r="CX9" i="3"/>
  <c r="CX29" i="3"/>
  <c r="CX21" i="3"/>
  <c r="CX17" i="3"/>
  <c r="CX16" i="3"/>
  <c r="CX38" i="3"/>
  <c r="CX25" i="3"/>
  <c r="CX8" i="3"/>
  <c r="CX34" i="3"/>
  <c r="CX19" i="3"/>
  <c r="CX13" i="3"/>
  <c r="CX15" i="3"/>
  <c r="CX41" i="3"/>
  <c r="CX37" i="3"/>
  <c r="CX52" i="3"/>
  <c r="CY19" i="3" l="1"/>
  <c r="CZ19" i="3" s="1"/>
  <c r="CY42" i="3"/>
  <c r="CZ42" i="3" s="1"/>
  <c r="CY36" i="3"/>
  <c r="CZ36" i="3" s="1"/>
  <c r="CY39" i="3"/>
  <c r="CZ39" i="3" s="1"/>
  <c r="CY21" i="3"/>
  <c r="CZ21" i="3" s="1"/>
  <c r="CY14" i="3"/>
  <c r="CZ14" i="3" s="1"/>
  <c r="CY29" i="3"/>
  <c r="CZ29" i="3" s="1"/>
  <c r="CY34" i="3"/>
  <c r="CZ34" i="3" s="1"/>
  <c r="CY30" i="3"/>
  <c r="CZ30" i="3" s="1"/>
  <c r="CY11" i="3"/>
  <c r="CZ11" i="3" s="1"/>
  <c r="CY28" i="3"/>
  <c r="CZ28" i="3" s="1"/>
  <c r="CY16" i="3"/>
  <c r="CZ16" i="3" s="1"/>
  <c r="CY7" i="3"/>
  <c r="CZ7" i="3" s="1"/>
  <c r="CY52" i="3"/>
  <c r="CZ52" i="3" s="1"/>
  <c r="CY53" i="3"/>
  <c r="CZ53" i="3" s="1"/>
  <c r="CY25" i="3"/>
  <c r="CZ25" i="3" s="1"/>
  <c r="CY20" i="3"/>
  <c r="CZ20" i="3" s="1"/>
  <c r="CY45" i="3"/>
  <c r="CZ45" i="3" s="1"/>
  <c r="CY35" i="3"/>
  <c r="CZ35" i="3" s="1"/>
  <c r="CY31" i="3"/>
  <c r="CZ31" i="3" s="1"/>
  <c r="CY15" i="3"/>
  <c r="CZ15" i="3" s="1"/>
  <c r="CY51" i="3"/>
  <c r="CZ51" i="3" s="1"/>
  <c r="CY8" i="3"/>
  <c r="CZ8" i="3" s="1"/>
  <c r="CY47" i="3"/>
  <c r="CZ47" i="3" s="1"/>
  <c r="CY33" i="3"/>
  <c r="CZ33" i="3" s="1"/>
  <c r="CY6" i="3"/>
  <c r="CZ6" i="3" s="1"/>
  <c r="CY44" i="3"/>
  <c r="CZ44" i="3" s="1"/>
  <c r="CY13" i="3"/>
  <c r="CZ13" i="3" s="1"/>
  <c r="CY18" i="3"/>
  <c r="CZ18" i="3" s="1"/>
  <c r="CY48" i="3"/>
  <c r="CZ48" i="3" s="1"/>
  <c r="CY41" i="3"/>
  <c r="CZ41" i="3" s="1"/>
  <c r="CY46" i="3"/>
  <c r="CZ46" i="3" s="1"/>
  <c r="CY32" i="3"/>
  <c r="CZ32" i="3" s="1"/>
  <c r="CY38" i="3"/>
  <c r="CZ38" i="3" s="1"/>
  <c r="CY9" i="3"/>
  <c r="CZ9" i="3" s="1"/>
  <c r="CY27" i="3"/>
  <c r="CZ27" i="3" s="1"/>
  <c r="CY37" i="3"/>
  <c r="CZ37" i="3" s="1"/>
  <c r="CY12" i="3"/>
  <c r="CZ12" i="3" s="1"/>
  <c r="CY24" i="3"/>
  <c r="CZ24" i="3" s="1"/>
  <c r="CY50" i="3"/>
  <c r="CZ50" i="3" s="1"/>
  <c r="CY23" i="3"/>
  <c r="CZ23" i="3" s="1"/>
  <c r="CY43" i="3"/>
  <c r="CZ43" i="3" s="1"/>
  <c r="CY26" i="3"/>
  <c r="CZ26" i="3" s="1"/>
  <c r="CY40" i="3"/>
  <c r="CZ40" i="3" s="1"/>
  <c r="CY22" i="3"/>
  <c r="CZ22" i="3" s="1"/>
  <c r="CY10" i="3"/>
  <c r="CZ10" i="3" s="1"/>
  <c r="CY49" i="3"/>
  <c r="CZ49" i="3" s="1"/>
  <c r="CY17" i="3"/>
  <c r="CZ17" i="3" s="1"/>
  <c r="DA8" i="3" l="1"/>
  <c r="DA7" i="3"/>
  <c r="DA14" i="3"/>
  <c r="DA41" i="3"/>
  <c r="DA53" i="3"/>
  <c r="DA37" i="3"/>
  <c r="DA15" i="3"/>
  <c r="DA45" i="3"/>
  <c r="DA6" i="3"/>
  <c r="DA12" i="3"/>
  <c r="DA38" i="3"/>
  <c r="DA25" i="3"/>
  <c r="DA31" i="3"/>
  <c r="DA34" i="3"/>
  <c r="DA29" i="3"/>
  <c r="DA21" i="3"/>
  <c r="DA48" i="3"/>
  <c r="DA30" i="3"/>
  <c r="DA32" i="3"/>
  <c r="DA43" i="3"/>
  <c r="DA19" i="3"/>
  <c r="DA49" i="3"/>
  <c r="DA46" i="3"/>
  <c r="DA11" i="3"/>
  <c r="DA23" i="3"/>
  <c r="DA9" i="3"/>
  <c r="DA28" i="3"/>
  <c r="DA44" i="3"/>
  <c r="DA20" i="3"/>
  <c r="DA42" i="3"/>
  <c r="DA10" i="3"/>
  <c r="DA40" i="3"/>
  <c r="DA39" i="3"/>
  <c r="DA47" i="3"/>
  <c r="DA51" i="3"/>
  <c r="DA27" i="3"/>
  <c r="DA50" i="3"/>
  <c r="DA24" i="3"/>
  <c r="DA22" i="3"/>
  <c r="DA33" i="3"/>
  <c r="DA36" i="3"/>
  <c r="DA17" i="3"/>
  <c r="DA16" i="3"/>
  <c r="DA26" i="3"/>
  <c r="DA13" i="3"/>
  <c r="DA18" i="3"/>
  <c r="DA52" i="3"/>
  <c r="DA35" i="3"/>
  <c r="DB35" i="3" l="1"/>
  <c r="DC35" i="3" s="1"/>
  <c r="DB16" i="3"/>
  <c r="DC16" i="3" s="1"/>
  <c r="DB28" i="3"/>
  <c r="DC28" i="3" s="1"/>
  <c r="DB22" i="3"/>
  <c r="DC22" i="3" s="1"/>
  <c r="DB24" i="3"/>
  <c r="DC24" i="3" s="1"/>
  <c r="DB33" i="3"/>
  <c r="DC33" i="3" s="1"/>
  <c r="DB36" i="3"/>
  <c r="DC36" i="3" s="1"/>
  <c r="DB39" i="3"/>
  <c r="DC39" i="3" s="1"/>
  <c r="DB23" i="3"/>
  <c r="DC23" i="3" s="1"/>
  <c r="DB19" i="3"/>
  <c r="DC19" i="3" s="1"/>
  <c r="DB17" i="3"/>
  <c r="DC17" i="3" s="1"/>
  <c r="DB52" i="3"/>
  <c r="DC52" i="3" s="1"/>
  <c r="DB50" i="3"/>
  <c r="DC50" i="3" s="1"/>
  <c r="DB44" i="3"/>
  <c r="DC44" i="3" s="1"/>
  <c r="DB18" i="3"/>
  <c r="DC18" i="3" s="1"/>
  <c r="DB14" i="3"/>
  <c r="DC14" i="3" s="1"/>
  <c r="DB26" i="3"/>
  <c r="DC26" i="3" s="1"/>
  <c r="DB25" i="3"/>
  <c r="DC25" i="3" s="1"/>
  <c r="DB46" i="3"/>
  <c r="DC46" i="3" s="1"/>
  <c r="DB12" i="3"/>
  <c r="DC12" i="3" s="1"/>
  <c r="DB49" i="3"/>
  <c r="DC49" i="3" s="1"/>
  <c r="DB38" i="3"/>
  <c r="DC38" i="3" s="1"/>
  <c r="DB13" i="3"/>
  <c r="DC13" i="3" s="1"/>
  <c r="DB47" i="3"/>
  <c r="DC47" i="3" s="1"/>
  <c r="DB20" i="3"/>
  <c r="DC20" i="3" s="1"/>
  <c r="DB21" i="3"/>
  <c r="DC21" i="3" s="1"/>
  <c r="DB31" i="3"/>
  <c r="DC31" i="3" s="1"/>
  <c r="DB40" i="3"/>
  <c r="DC40" i="3" s="1"/>
  <c r="DB8" i="3"/>
  <c r="DC8" i="3" s="1"/>
  <c r="DB37" i="3"/>
  <c r="DC37" i="3" s="1"/>
  <c r="DB11" i="3"/>
  <c r="DC11" i="3" s="1"/>
  <c r="DB34" i="3"/>
  <c r="DC34" i="3" s="1"/>
  <c r="DB10" i="3"/>
  <c r="DC10" i="3" s="1"/>
  <c r="DB43" i="3"/>
  <c r="DC43" i="3" s="1"/>
  <c r="DB48" i="3"/>
  <c r="DC48" i="3" s="1"/>
  <c r="DB51" i="3"/>
  <c r="DC51" i="3" s="1"/>
  <c r="DB27" i="3"/>
  <c r="DC27" i="3" s="1"/>
  <c r="DB29" i="3"/>
  <c r="DC29" i="3" s="1"/>
  <c r="DB30" i="3"/>
  <c r="DC30" i="3" s="1"/>
  <c r="DB6" i="3"/>
  <c r="DC6" i="3" s="1"/>
  <c r="DB7" i="3"/>
  <c r="DC7" i="3" s="1"/>
  <c r="DB15" i="3"/>
  <c r="DC15" i="3" s="1"/>
  <c r="DB9" i="3"/>
  <c r="DC9" i="3" s="1"/>
  <c r="DB32" i="3"/>
  <c r="DC32" i="3" s="1"/>
  <c r="DB41" i="3"/>
  <c r="DC41" i="3" s="1"/>
  <c r="DB42" i="3"/>
  <c r="DC42" i="3" s="1"/>
  <c r="DB45" i="3"/>
  <c r="DC45" i="3" s="1"/>
  <c r="DB53" i="3"/>
  <c r="DC53" i="3" s="1"/>
  <c r="DD50" i="3" l="1"/>
  <c r="BM50" i="3" s="1"/>
  <c r="DD45" i="3"/>
  <c r="BM45" i="3" s="1"/>
  <c r="DD25" i="3"/>
  <c r="BM25" i="3" s="1"/>
  <c r="DD19" i="3"/>
  <c r="BM19" i="3" s="1"/>
  <c r="DD20" i="3"/>
  <c r="BM20" i="3" s="1"/>
  <c r="DD15" i="3"/>
  <c r="BM15" i="3" s="1"/>
  <c r="DD24" i="3"/>
  <c r="BM24" i="3" s="1"/>
  <c r="DD10" i="3"/>
  <c r="BM10" i="3" s="1"/>
  <c r="DD16" i="3"/>
  <c r="BM16" i="3" s="1"/>
  <c r="DD23" i="3"/>
  <c r="BM23" i="3" s="1"/>
  <c r="DD29" i="3"/>
  <c r="BM29" i="3" s="1"/>
  <c r="DD37" i="3"/>
  <c r="BM37" i="3" s="1"/>
  <c r="DD17" i="3"/>
  <c r="BM17" i="3" s="1"/>
  <c r="DD51" i="3"/>
  <c r="BM51" i="3" s="1"/>
  <c r="DD35" i="3"/>
  <c r="BM35" i="3" s="1"/>
  <c r="DD44" i="3"/>
  <c r="BM44" i="3" s="1"/>
  <c r="DD52" i="3"/>
  <c r="BM52" i="3" s="1"/>
  <c r="DD8" i="3"/>
  <c r="BM8" i="3" s="1"/>
  <c r="DD9" i="3"/>
  <c r="BM9" i="3" s="1"/>
  <c r="DD30" i="3"/>
  <c r="BM30" i="3" s="1"/>
  <c r="DD12" i="3"/>
  <c r="BM12" i="3" s="1"/>
  <c r="DD13" i="3"/>
  <c r="BM13" i="3" s="1"/>
  <c r="DD53" i="3"/>
  <c r="BM53" i="3" s="1"/>
  <c r="DD31" i="3"/>
  <c r="BM31" i="3" s="1"/>
  <c r="DD49" i="3"/>
  <c r="BM49" i="3" s="1"/>
  <c r="DD38" i="3"/>
  <c r="BM38" i="3" s="1"/>
  <c r="DD41" i="3"/>
  <c r="BM41" i="3" s="1"/>
  <c r="DD43" i="3"/>
  <c r="BM43" i="3" s="1"/>
  <c r="DD32" i="3"/>
  <c r="BM32" i="3" s="1"/>
  <c r="DD46" i="3"/>
  <c r="BM46" i="3" s="1"/>
  <c r="DD39" i="3"/>
  <c r="BM39" i="3" s="1"/>
  <c r="DD6" i="3"/>
  <c r="BM6" i="3" s="1"/>
  <c r="DQ7" i="3" s="1"/>
  <c r="DJ7" i="3" s="1"/>
  <c r="DD28" i="3"/>
  <c r="BM28" i="3" s="1"/>
  <c r="DD22" i="3"/>
  <c r="BM22" i="3" s="1"/>
  <c r="DD48" i="3"/>
  <c r="BM48" i="3" s="1"/>
  <c r="DD11" i="3"/>
  <c r="BM11"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Q6" i="3" l="1"/>
  <c r="DJ6" i="3" s="1"/>
  <c r="AV23" i="3"/>
  <c r="DQ37" i="3"/>
  <c r="DJ37" i="3" s="1"/>
  <c r="DQ20" i="3"/>
  <c r="DJ20" i="3" s="1"/>
  <c r="AV17" i="3"/>
  <c r="DQ33" i="3"/>
  <c r="DJ33" i="3" s="1"/>
  <c r="DQ8" i="3"/>
  <c r="DJ8" i="3" s="1"/>
  <c r="DQ13" i="3"/>
  <c r="DJ13" i="3" s="1"/>
  <c r="AV9" i="3"/>
  <c r="AV41" i="3"/>
  <c r="AV47" i="3"/>
  <c r="AV57" i="3"/>
  <c r="AV25" i="3"/>
  <c r="AV78" i="3"/>
  <c r="AV95" i="3"/>
  <c r="DQ19" i="3"/>
  <c r="DJ19" i="3" s="1"/>
  <c r="AV48" i="3"/>
  <c r="DQ43" i="3"/>
  <c r="DJ43" i="3" s="1"/>
  <c r="DQ49" i="3"/>
  <c r="DJ49" i="3" s="1"/>
  <c r="DQ32" i="3"/>
  <c r="DJ32" i="3" s="1"/>
  <c r="DQ9" i="3"/>
  <c r="DJ9" i="3" s="1"/>
  <c r="AV30" i="3"/>
  <c r="DQ36" i="3"/>
  <c r="DJ36" i="3" s="1"/>
  <c r="AV65" i="3"/>
  <c r="DQ16" i="3"/>
  <c r="DJ16" i="3" s="1"/>
  <c r="DQ10" i="3"/>
  <c r="DJ10" i="3" s="1"/>
  <c r="AV96" i="3"/>
  <c r="DQ47" i="3"/>
  <c r="DJ47" i="3" s="1"/>
  <c r="AV89" i="3"/>
  <c r="AV73" i="3"/>
  <c r="DQ29" i="3"/>
  <c r="DJ29" i="3" s="1"/>
  <c r="AV16" i="3"/>
  <c r="AV64" i="3"/>
  <c r="DQ21" i="3"/>
  <c r="DJ21" i="3" s="1"/>
  <c r="DQ28" i="3"/>
  <c r="DJ28" i="3" s="1"/>
  <c r="AV87" i="3"/>
  <c r="AV88" i="3"/>
  <c r="AV40" i="3"/>
  <c r="AV22" i="3"/>
  <c r="DQ17" i="3"/>
  <c r="DJ17" i="3" s="1"/>
  <c r="DQ52" i="3"/>
  <c r="DJ52" i="3" s="1"/>
  <c r="DQ50" i="3"/>
  <c r="DJ50" i="3" s="1"/>
  <c r="DQ46" i="3"/>
  <c r="DJ46" i="3" s="1"/>
  <c r="DQ39" i="3"/>
  <c r="DJ39" i="3" s="1"/>
  <c r="AV71" i="3"/>
  <c r="DQ40" i="3"/>
  <c r="DJ40" i="3" s="1"/>
  <c r="DQ41" i="3"/>
  <c r="DJ41" i="3" s="1"/>
  <c r="AV70" i="3"/>
  <c r="AV94" i="3"/>
  <c r="DQ51" i="3"/>
  <c r="DJ51" i="3" s="1"/>
  <c r="AV81" i="3"/>
  <c r="AV97" i="3"/>
  <c r="DQ24" i="3"/>
  <c r="DJ24" i="3" s="1"/>
  <c r="AV31" i="3"/>
  <c r="AV33" i="3"/>
  <c r="DQ31" i="3"/>
  <c r="DJ31" i="3" s="1"/>
  <c r="DQ23" i="3"/>
  <c r="DJ23" i="3" s="1"/>
  <c r="AV38" i="3"/>
  <c r="DQ26" i="3"/>
  <c r="DJ26" i="3" s="1"/>
  <c r="DQ22" i="3"/>
  <c r="DJ22" i="3" s="1"/>
  <c r="DQ15" i="3"/>
  <c r="DJ15" i="3" s="1"/>
  <c r="AV32" i="3"/>
  <c r="DQ45" i="3"/>
  <c r="DJ45" i="3" s="1"/>
  <c r="DQ48" i="3"/>
  <c r="DJ48" i="3" s="1"/>
  <c r="DQ35" i="3"/>
  <c r="DJ35" i="3" s="1"/>
  <c r="DQ53" i="3"/>
  <c r="DJ53" i="3" s="1"/>
  <c r="AV62" i="3"/>
  <c r="DQ27" i="3"/>
  <c r="DJ27" i="3" s="1"/>
  <c r="DQ12" i="3"/>
  <c r="DJ12" i="3" s="1"/>
  <c r="AV46" i="3"/>
  <c r="AV14" i="3"/>
  <c r="AV80" i="3"/>
  <c r="DQ42" i="3"/>
  <c r="DJ42" i="3" s="1"/>
  <c r="AV7" i="3"/>
  <c r="AV63" i="3"/>
  <c r="AV6" i="3"/>
  <c r="DF8" i="3" s="1"/>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L11" i="3" l="1"/>
  <c r="DM11" i="3" s="1"/>
  <c r="DL6" i="3"/>
  <c r="AU6" i="3" s="1"/>
  <c r="DL36" i="3"/>
  <c r="AU64" i="3" s="1"/>
  <c r="DL32" i="3"/>
  <c r="AU56" i="3" s="1"/>
  <c r="DL44" i="3"/>
  <c r="AU80" i="3" s="1"/>
  <c r="DL34" i="3"/>
  <c r="AU62" i="3" s="1"/>
  <c r="DL48" i="3"/>
  <c r="AU88" i="3" s="1"/>
  <c r="DL42" i="3"/>
  <c r="AU78" i="3" s="1"/>
  <c r="DL15" i="3"/>
  <c r="AU23" i="3" s="1"/>
  <c r="DL52" i="3"/>
  <c r="AU96" i="3" s="1"/>
  <c r="DL43" i="3"/>
  <c r="AU79" i="3" s="1"/>
  <c r="DF7" i="3"/>
  <c r="DL27" i="3"/>
  <c r="AU47" i="3" s="1"/>
  <c r="DL39" i="3"/>
  <c r="AU71" i="3" s="1"/>
  <c r="DL35" i="3"/>
  <c r="AU63" i="3" s="1"/>
  <c r="DL17" i="3"/>
  <c r="AU25" i="3" s="1"/>
  <c r="DL31" i="3"/>
  <c r="AU55" i="3" s="1"/>
  <c r="DL10" i="3"/>
  <c r="AU14" i="3" s="1"/>
  <c r="DL12" i="3"/>
  <c r="AU16" i="3" s="1"/>
  <c r="DL23" i="3"/>
  <c r="AU39" i="3" s="1"/>
  <c r="DL24" i="3"/>
  <c r="AU40" i="3" s="1"/>
  <c r="DL53" i="3"/>
  <c r="AU97" i="3" s="1"/>
  <c r="DL21" i="3"/>
  <c r="AU33" i="3" s="1"/>
  <c r="DL29" i="3"/>
  <c r="DN29" i="3" s="1" a="1"/>
  <c r="DN29" i="3" s="1"/>
  <c r="DL41" i="3"/>
  <c r="DM41" i="3" s="1"/>
  <c r="DL22" i="3"/>
  <c r="AU38" i="3" s="1"/>
  <c r="DL18" i="3"/>
  <c r="AU30" i="3" s="1"/>
  <c r="DL49" i="3"/>
  <c r="AU89" i="3" s="1"/>
  <c r="DL20" i="3"/>
  <c r="DN20" i="3" s="1" a="1"/>
  <c r="DN20" i="3" s="1"/>
  <c r="DL7" i="3"/>
  <c r="DN7" i="3" s="1" a="1"/>
  <c r="DN7" i="3" s="1"/>
  <c r="DL50" i="3"/>
  <c r="DN50" i="3" s="1" a="1"/>
  <c r="DN50" i="3" s="1"/>
  <c r="DL46" i="3"/>
  <c r="AU86" i="3" s="1"/>
  <c r="DL37" i="3"/>
  <c r="AU65" i="3" s="1"/>
  <c r="DL30" i="3"/>
  <c r="AU54" i="3" s="1"/>
  <c r="DL38" i="3"/>
  <c r="AU70" i="3" s="1"/>
  <c r="DL40" i="3"/>
  <c r="AU72" i="3" s="1"/>
  <c r="DL8" i="3"/>
  <c r="AU8" i="3" s="1"/>
  <c r="DL13" i="3"/>
  <c r="AU17" i="3" s="1"/>
  <c r="DL25" i="3"/>
  <c r="AU41" i="3" s="1"/>
  <c r="DL33" i="3"/>
  <c r="AU57" i="3" s="1"/>
  <c r="DL26" i="3"/>
  <c r="AU46" i="3" s="1"/>
  <c r="DL28" i="3"/>
  <c r="AU48" i="3" s="1"/>
  <c r="DL16" i="3"/>
  <c r="AU24" i="3" s="1"/>
  <c r="DL19" i="3"/>
  <c r="AU31" i="3" s="1"/>
  <c r="DL51" i="3"/>
  <c r="AU95" i="3" s="1"/>
  <c r="DL47" i="3"/>
  <c r="AU87" i="3" s="1"/>
  <c r="DL45" i="3"/>
  <c r="DN45" i="3" s="1" a="1"/>
  <c r="DN45" i="3" s="1"/>
  <c r="DL9" i="3"/>
  <c r="AU9" i="3" s="1"/>
  <c r="DL14" i="3"/>
  <c r="DM14" i="3" s="1"/>
  <c r="DN52" i="3" a="1"/>
  <c r="DN52" i="3" s="1"/>
  <c r="DN11" i="3" a="1"/>
  <c r="DN11" i="3" s="1"/>
  <c r="AU15" i="3"/>
  <c r="DN34" i="3" a="1"/>
  <c r="DN34" i="3" s="1"/>
  <c r="DM53" i="3"/>
  <c r="DM6" i="3"/>
  <c r="DN6" i="3" a="1"/>
  <c r="DN6" i="3" s="1"/>
  <c r="DN39" i="3" a="1"/>
  <c r="DN39" i="3" s="1"/>
  <c r="DM36" i="3" l="1"/>
  <c r="DN22" i="3" a="1"/>
  <c r="DN22" i="3" s="1"/>
  <c r="DN10" i="3" a="1"/>
  <c r="DN10" i="3" s="1"/>
  <c r="DM7" i="3"/>
  <c r="DM48" i="3"/>
  <c r="DN36" i="3" a="1"/>
  <c r="DN36" i="3" s="1"/>
  <c r="DN38" i="3" a="1"/>
  <c r="DN38" i="3" s="1"/>
  <c r="DM43" i="3"/>
  <c r="DN43" i="3" a="1"/>
  <c r="DN43" i="3" s="1"/>
  <c r="DN48" i="3" a="1"/>
  <c r="DN48" i="3" s="1"/>
  <c r="DM39" i="3"/>
  <c r="DM34" i="3"/>
  <c r="AU61" i="3"/>
  <c r="AV60" i="3" s="1"/>
  <c r="DM17" i="3"/>
  <c r="DN40" i="3" a="1"/>
  <c r="DN40" i="3" s="1"/>
  <c r="AU49" i="3"/>
  <c r="AU45" i="3" s="1"/>
  <c r="AV44" i="3" s="1"/>
  <c r="DM23" i="3"/>
  <c r="DM42" i="3"/>
  <c r="DM32" i="3"/>
  <c r="DN9" i="3" a="1"/>
  <c r="DN9" i="3" s="1"/>
  <c r="DN17" i="3" a="1"/>
  <c r="DN17" i="3" s="1"/>
  <c r="DN32" i="3" a="1"/>
  <c r="DN32" i="3" s="1"/>
  <c r="DN23" i="3" a="1"/>
  <c r="DN23" i="3" s="1"/>
  <c r="DM29" i="3"/>
  <c r="DN42" i="3" a="1"/>
  <c r="DN42" i="3" s="1"/>
  <c r="AU37" i="3"/>
  <c r="AV36" i="3" s="1"/>
  <c r="AU7" i="3"/>
  <c r="DM26" i="3"/>
  <c r="DM44" i="3"/>
  <c r="DM30" i="3"/>
  <c r="AU73" i="3"/>
  <c r="AU69" i="3" s="1"/>
  <c r="AV68" i="3" s="1"/>
  <c r="DN27" i="3" a="1"/>
  <c r="DN27" i="3" s="1"/>
  <c r="AU22" i="3"/>
  <c r="AU21" i="3" s="1"/>
  <c r="AV20" i="3" s="1"/>
  <c r="DM31" i="3"/>
  <c r="DN15" i="3" a="1"/>
  <c r="DN15" i="3" s="1"/>
  <c r="DN41" i="3" a="1"/>
  <c r="DN41" i="3" s="1"/>
  <c r="DM27" i="3"/>
  <c r="DN37" i="3" a="1"/>
  <c r="DN37" i="3" s="1"/>
  <c r="DN44" i="3" a="1"/>
  <c r="DN44" i="3" s="1"/>
  <c r="DN26" i="3" a="1"/>
  <c r="DN26" i="3" s="1"/>
  <c r="DM8" i="3"/>
  <c r="DM15" i="3"/>
  <c r="AU32" i="3"/>
  <c r="AU29" i="3" s="1"/>
  <c r="AV28" i="3" s="1"/>
  <c r="DN51" i="3" a="1"/>
  <c r="DN51" i="3" s="1"/>
  <c r="DM37" i="3"/>
  <c r="DM51" i="3"/>
  <c r="AU5" i="3"/>
  <c r="AV4" i="3" s="1"/>
  <c r="DN14" i="3" a="1"/>
  <c r="DN14" i="3" s="1"/>
  <c r="DN24" i="3" a="1"/>
  <c r="DN24" i="3" s="1"/>
  <c r="DM24" i="3"/>
  <c r="DN8" i="3" a="1"/>
  <c r="DN8" i="3" s="1"/>
  <c r="DM20" i="3"/>
  <c r="DN31" i="3" a="1"/>
  <c r="DN31" i="3" s="1"/>
  <c r="DM47" i="3"/>
  <c r="DN47" i="3" a="1"/>
  <c r="DN47" i="3" s="1"/>
  <c r="DM28" i="3"/>
  <c r="DM45" i="3"/>
  <c r="DN53" i="3" a="1"/>
  <c r="DN53" i="3" s="1"/>
  <c r="DM9" i="3"/>
  <c r="DM52" i="3"/>
  <c r="DN13" i="3" a="1"/>
  <c r="DN13" i="3" s="1"/>
  <c r="DM22" i="3"/>
  <c r="DN28" i="3" a="1"/>
  <c r="DN28" i="3" s="1"/>
  <c r="DM10" i="3"/>
  <c r="DM13" i="3"/>
  <c r="DN30" i="3" a="1"/>
  <c r="DN30" i="3" s="1"/>
  <c r="AU53" i="3"/>
  <c r="AV52" i="3" s="1"/>
  <c r="AU94" i="3"/>
  <c r="AU93" i="3" s="1"/>
  <c r="AV92" i="3" s="1"/>
  <c r="DM50" i="3"/>
  <c r="DM16" i="3"/>
  <c r="DN18" i="3" a="1"/>
  <c r="DN18" i="3" s="1"/>
  <c r="DN12" i="3" a="1"/>
  <c r="DN12" i="3" s="1"/>
  <c r="DM18" i="3"/>
  <c r="DM12" i="3"/>
  <c r="DM38" i="3"/>
  <c r="DM21" i="3"/>
  <c r="DM35" i="3"/>
  <c r="DN25" i="3" a="1"/>
  <c r="DN25" i="3" s="1"/>
  <c r="DN35" i="3" a="1"/>
  <c r="DN35" i="3" s="1"/>
  <c r="DN21" i="3" a="1"/>
  <c r="DN21" i="3" s="1"/>
  <c r="AU13" i="3"/>
  <c r="AV12" i="3" s="1"/>
  <c r="DF12" i="3" s="1"/>
  <c r="DM25" i="3"/>
  <c r="AU85" i="3"/>
  <c r="AV84" i="3" s="1"/>
  <c r="AU81" i="3"/>
  <c r="AU77" i="3" s="1"/>
  <c r="AV76" i="3" s="1"/>
  <c r="DM46" i="3"/>
  <c r="DN46" i="3" a="1"/>
  <c r="DN46" i="3" s="1"/>
  <c r="DN19" i="3" a="1"/>
  <c r="DN19" i="3" s="1"/>
  <c r="DN33" i="3" a="1"/>
  <c r="DN33" i="3" s="1"/>
  <c r="DN16" i="3" a="1"/>
  <c r="DN16" i="3" s="1"/>
  <c r="DM40" i="3"/>
  <c r="DM33" i="3"/>
  <c r="DM49" i="3"/>
  <c r="DM19" i="3"/>
  <c r="DN49" i="3" a="1"/>
  <c r="DN49" i="3" s="1"/>
  <c r="DF9" i="3"/>
  <c r="DF16" i="3" l="1"/>
  <c r="DF25" i="3"/>
  <c r="DF10" i="3"/>
  <c r="DF23" i="3"/>
  <c r="DF18" i="3"/>
  <c r="DF14" i="3"/>
  <c r="DF21" i="3"/>
  <c r="DF37" i="3"/>
  <c r="DF19" i="3"/>
  <c r="DF24" i="3"/>
  <c r="DF2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AG114" i="3" s="1"/>
  <c r="D105" i="3"/>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2" i="3" l="1"/>
  <c r="AG122" i="3" s="1"/>
  <c r="AG105" i="3"/>
  <c r="D124" i="3"/>
  <c r="AG124" i="3" s="1"/>
  <c r="N126" i="3"/>
  <c r="AF126" i="3" s="1"/>
  <c r="C196" i="31" s="1"/>
  <c r="D121" i="3"/>
  <c r="M131" i="3" s="1"/>
  <c r="AA131" i="3" s="1"/>
  <c r="D131" i="3" s="1"/>
  <c r="D127" i="3"/>
  <c r="N134" i="3" s="1"/>
  <c r="AF134" i="3" s="1"/>
  <c r="BL65" i="3"/>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M133" i="3"/>
  <c r="AA133" i="3" s="1"/>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1" i="3" l="1"/>
  <c r="B206" i="31"/>
  <c r="C206" i="31"/>
  <c r="M132" i="3"/>
  <c r="AA132" i="3" s="1"/>
  <c r="C211" i="31" s="1"/>
  <c r="AE41" i="45"/>
  <c r="AG127" i="3"/>
  <c r="D120" i="3"/>
  <c r="BS63" i="3"/>
  <c r="BS68" i="3"/>
  <c r="BS66" i="3"/>
  <c r="BS65" i="3"/>
  <c r="BS58" i="3"/>
  <c r="BS69" i="3"/>
  <c r="BS60" i="3"/>
  <c r="BS64" i="3"/>
  <c r="BS67" i="3"/>
  <c r="BS62" i="3"/>
  <c r="BS61" i="3"/>
  <c r="BS59" i="3"/>
  <c r="C190" i="31"/>
  <c r="AE11" i="45"/>
  <c r="B200" i="31"/>
  <c r="AG126" i="3"/>
  <c r="AG134" i="3"/>
  <c r="N139" i="3"/>
  <c r="AF139" i="3" s="1"/>
  <c r="M138" i="3"/>
  <c r="AA138" i="3" s="1"/>
  <c r="AG131" i="3"/>
  <c r="AI44" i="45"/>
  <c r="C217" i="31"/>
  <c r="C212" i="31"/>
  <c r="AI31" i="45"/>
  <c r="AI43" i="45"/>
  <c r="C213" i="31"/>
  <c r="B223" i="31"/>
  <c r="C223" i="31"/>
  <c r="AI7" i="45"/>
  <c r="C210" i="31"/>
  <c r="AI19" i="45" l="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AM38" i="45" a="1"/>
  <c r="AM38" i="45" s="1"/>
  <c r="C229" i="31"/>
  <c r="AM13" i="45"/>
  <c r="C226" i="31"/>
  <c r="AI8" i="45" l="1"/>
  <c r="C220" i="31"/>
  <c r="C214" i="31"/>
  <c r="B220" i="31"/>
  <c r="BV61" i="3"/>
  <c r="BV60" i="3"/>
  <c r="BV66" i="3"/>
  <c r="BV69" i="3"/>
  <c r="BV65" i="3"/>
  <c r="BV68" i="3"/>
  <c r="BV62" i="3"/>
  <c r="BV59" i="3"/>
  <c r="BV64" i="3"/>
  <c r="BV58" i="3"/>
  <c r="BV67" i="3"/>
  <c r="BV63" i="3"/>
  <c r="D147" i="3"/>
  <c r="AG147" i="3" s="1"/>
  <c r="AA150" i="3"/>
  <c r="C237" i="31"/>
  <c r="AQ32" i="45"/>
  <c r="C240" i="31"/>
  <c r="AU25" i="45"/>
  <c r="AG138" i="3"/>
  <c r="M147" i="3"/>
  <c r="M14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D132" i="3" s="1"/>
  <c r="AG125" i="3"/>
  <c r="N133" i="3"/>
  <c r="AF133" i="3" s="1"/>
  <c r="D133" i="3" s="1"/>
  <c r="AG123" i="3"/>
  <c r="AG133" i="3" l="1"/>
  <c r="M139" i="3"/>
  <c r="AA139" i="3" s="1"/>
  <c r="AG132" i="3"/>
  <c r="N138" i="3"/>
  <c r="AF138" i="3" s="1"/>
  <c r="C221" i="31"/>
  <c r="C215" i="31"/>
  <c r="B221" i="31"/>
  <c r="AI20" i="45"/>
  <c r="B222" i="31"/>
  <c r="C222" i="31"/>
  <c r="AI32" i="45"/>
  <c r="C216" i="31"/>
  <c r="AF147" i="3" l="1"/>
  <c r="D139" i="3"/>
  <c r="H138" i="3"/>
  <c r="AA143" i="3"/>
  <c r="AM37" i="45"/>
  <c r="C233" i="31"/>
  <c r="B233" i="31"/>
  <c r="C227" i="31"/>
  <c r="C228" i="31"/>
  <c r="AM14" i="45"/>
  <c r="C232" i="31"/>
  <c r="B232" i="31"/>
  <c r="H147" i="3" l="1"/>
  <c r="AA151" i="3"/>
  <c r="AA152" i="3"/>
  <c r="D143" i="3"/>
  <c r="AG143" i="3" s="1"/>
  <c r="N147" i="3"/>
  <c r="AG139" i="3"/>
  <c r="N143" i="3"/>
  <c r="C247" i="31"/>
  <c r="AU26" i="45"/>
  <c r="C241" i="31"/>
  <c r="B247" i="31"/>
  <c r="AQ31" i="45"/>
  <c r="C236" i="31"/>
  <c r="B244" i="31"/>
  <c r="C244" i="31"/>
  <c r="C251" i="31" l="1"/>
  <c r="BB23" i="45"/>
  <c r="AG151" i="3"/>
  <c r="C252" i="31"/>
  <c r="AZ25" i="45"/>
  <c r="AG152" i="3"/>
  <c r="AJ155" i="3" s="1"/>
  <c r="AJ151" i="3" l="1"/>
  <c r="BN35" i="45"/>
  <c r="BN42" i="45"/>
  <c r="BN49" i="45"/>
  <c r="BN4" i="45"/>
  <c r="BN17" i="45"/>
  <c r="BN28" i="45"/>
  <c r="BN40" i="45"/>
  <c r="BN13" i="45"/>
  <c r="BN11" i="45"/>
  <c r="BN16" i="45"/>
  <c r="BN21" i="45"/>
  <c r="BN29" i="45"/>
  <c r="BN19" i="45"/>
  <c r="BN50" i="45"/>
  <c r="BN44" i="45"/>
  <c r="BN24" i="45"/>
  <c r="BN7" i="45"/>
  <c r="BN51" i="45"/>
  <c r="BN27" i="45"/>
  <c r="BN14" i="45"/>
  <c r="BN48" i="45"/>
  <c r="BN39" i="45"/>
  <c r="BN23" i="45"/>
  <c r="BN38" i="45"/>
  <c r="BN36" i="45"/>
  <c r="BN31" i="45"/>
  <c r="BN18" i="45"/>
  <c r="BN45" i="45"/>
  <c r="BN6" i="45"/>
  <c r="BN22" i="45"/>
  <c r="BN20" i="45"/>
  <c r="BN8" i="45"/>
  <c r="BN9" i="45"/>
  <c r="BN41" i="45"/>
  <c r="BN46" i="45"/>
  <c r="BN32" i="45"/>
  <c r="BN30" i="45"/>
  <c r="BN47" i="45"/>
  <c r="BN10" i="45"/>
  <c r="BN5" i="45"/>
  <c r="BN12" i="45"/>
  <c r="BN26" i="45"/>
  <c r="BN43" i="45"/>
  <c r="BN34" i="45"/>
  <c r="BN15" i="45"/>
  <c r="BN33" i="45"/>
  <c r="BN37" i="45"/>
  <c r="BN25" i="45"/>
  <c r="BM11" i="45"/>
  <c r="BL11" i="45" s="1"/>
  <c r="BK11" i="45" s="1"/>
  <c r="BJ11" i="45" s="1"/>
  <c r="BI11" i="45" s="1"/>
  <c r="BH11" i="45" s="1"/>
  <c r="BM18" i="45"/>
  <c r="BM16" i="45"/>
  <c r="BM7" i="45"/>
  <c r="BM36" i="45"/>
  <c r="BL36" i="45" s="1"/>
  <c r="BK36" i="45" s="1"/>
  <c r="BJ36" i="45" s="1"/>
  <c r="BI36" i="45" s="1"/>
  <c r="BH36" i="45" s="1"/>
  <c r="BM24" i="45"/>
  <c r="BM14" i="45"/>
  <c r="BM40" i="45"/>
  <c r="BM27" i="45"/>
  <c r="BM10" i="45"/>
  <c r="BM37" i="45"/>
  <c r="BL37" i="45" s="1"/>
  <c r="BK37" i="45" s="1"/>
  <c r="BJ37" i="45" s="1"/>
  <c r="BI37" i="45" s="1"/>
  <c r="BH37" i="45" s="1"/>
  <c r="BM17" i="45"/>
  <c r="BL17" i="45" s="1"/>
  <c r="BK17" i="45" s="1"/>
  <c r="BJ17" i="45" s="1"/>
  <c r="BI17" i="45" s="1"/>
  <c r="BH17" i="45" s="1"/>
  <c r="BM5" i="45"/>
  <c r="BM51" i="45"/>
  <c r="BL51" i="45" s="1"/>
  <c r="BK51" i="45" s="1"/>
  <c r="BJ51" i="45" s="1"/>
  <c r="BI51" i="45" s="1"/>
  <c r="BH51" i="45" s="1"/>
  <c r="BM15" i="45"/>
  <c r="BM28" i="45"/>
  <c r="BL28" i="45" s="1"/>
  <c r="BK28" i="45" s="1"/>
  <c r="BJ28" i="45" s="1"/>
  <c r="BI28" i="45" s="1"/>
  <c r="BH28" i="45" s="1"/>
  <c r="BM25" i="45"/>
  <c r="BM39" i="45"/>
  <c r="BL39" i="45" s="1"/>
  <c r="BK39" i="45" s="1"/>
  <c r="BJ39" i="45" s="1"/>
  <c r="BI39" i="45" s="1"/>
  <c r="BH39" i="45" s="1"/>
  <c r="BM43" i="45"/>
  <c r="BL43" i="45" s="1"/>
  <c r="BK43" i="45" s="1"/>
  <c r="BJ43" i="45" s="1"/>
  <c r="BI43" i="45" s="1"/>
  <c r="BH43" i="45" s="1"/>
  <c r="BM13" i="45"/>
  <c r="BL13" i="45" s="1"/>
  <c r="BK13" i="45" s="1"/>
  <c r="BJ13" i="45" s="1"/>
  <c r="BI13" i="45" s="1"/>
  <c r="BH13" i="45" s="1"/>
  <c r="BM45" i="45"/>
  <c r="BM21" i="45"/>
  <c r="BM4" i="45"/>
  <c r="BM46" i="45"/>
  <c r="BM23" i="45"/>
  <c r="BM47" i="45"/>
  <c r="BL47" i="45" s="1"/>
  <c r="BK47" i="45" s="1"/>
  <c r="BJ47" i="45" s="1"/>
  <c r="BI47" i="45" s="1"/>
  <c r="BH47" i="45" s="1"/>
  <c r="BM48" i="45"/>
  <c r="BL48" i="45" s="1"/>
  <c r="BK48" i="45" s="1"/>
  <c r="BJ48" i="45" s="1"/>
  <c r="BI48" i="45" s="1"/>
  <c r="BH48" i="45" s="1"/>
  <c r="BM33" i="45"/>
  <c r="BL33" i="45" s="1"/>
  <c r="BK33" i="45" s="1"/>
  <c r="BJ33" i="45" s="1"/>
  <c r="BI33" i="45" s="1"/>
  <c r="BH33" i="45" s="1"/>
  <c r="BM6" i="45"/>
  <c r="BL6" i="45" s="1"/>
  <c r="BK6" i="45" s="1"/>
  <c r="BJ6" i="45" s="1"/>
  <c r="BI6" i="45" s="1"/>
  <c r="BH6" i="45" s="1"/>
  <c r="BM9" i="45"/>
  <c r="BL9" i="45" s="1"/>
  <c r="BK9" i="45" s="1"/>
  <c r="BJ9" i="45" s="1"/>
  <c r="BI9" i="45" s="1"/>
  <c r="BH9" i="45" s="1"/>
  <c r="BM8" i="45"/>
  <c r="BM20" i="45"/>
  <c r="BM42" i="45"/>
  <c r="BL42" i="45" s="1"/>
  <c r="BK42" i="45" s="1"/>
  <c r="BJ42" i="45" s="1"/>
  <c r="BI42" i="45" s="1"/>
  <c r="BH42" i="45" s="1"/>
  <c r="BM19" i="45"/>
  <c r="BL19" i="45" s="1"/>
  <c r="BK19" i="45" s="1"/>
  <c r="BJ19" i="45" s="1"/>
  <c r="BI19" i="45" s="1"/>
  <c r="BH19" i="45" s="1"/>
  <c r="BM44" i="45"/>
  <c r="BL44" i="45" s="1"/>
  <c r="BK44" i="45" s="1"/>
  <c r="BJ44" i="45" s="1"/>
  <c r="BI44" i="45" s="1"/>
  <c r="BH44" i="45" s="1"/>
  <c r="BM31" i="45"/>
  <c r="BL31" i="45" s="1"/>
  <c r="BK31" i="45" s="1"/>
  <c r="BJ31" i="45" s="1"/>
  <c r="BI31" i="45" s="1"/>
  <c r="BH31" i="45" s="1"/>
  <c r="BM26" i="45"/>
  <c r="BL26" i="45" s="1"/>
  <c r="BK26" i="45" s="1"/>
  <c r="BJ26" i="45" s="1"/>
  <c r="BI26" i="45" s="1"/>
  <c r="BH26" i="45" s="1"/>
  <c r="BM22" i="45"/>
  <c r="BL22" i="45" s="1"/>
  <c r="BK22" i="45" s="1"/>
  <c r="BJ22" i="45" s="1"/>
  <c r="BI22" i="45" s="1"/>
  <c r="BH22" i="45" s="1"/>
  <c r="BM41" i="45"/>
  <c r="BL41" i="45" s="1"/>
  <c r="BK41" i="45" s="1"/>
  <c r="BJ41" i="45" s="1"/>
  <c r="BI41" i="45" s="1"/>
  <c r="BH41" i="45" s="1"/>
  <c r="BM34" i="45"/>
  <c r="BL34" i="45" s="1"/>
  <c r="BK34" i="45" s="1"/>
  <c r="BJ34" i="45" s="1"/>
  <c r="BI34" i="45" s="1"/>
  <c r="BH34" i="45" s="1"/>
  <c r="BM38" i="45"/>
  <c r="BL38" i="45" s="1"/>
  <c r="BK38" i="45" s="1"/>
  <c r="BJ38" i="45" s="1"/>
  <c r="BI38" i="45" s="1"/>
  <c r="BH38" i="45" s="1"/>
  <c r="BM30" i="45"/>
  <c r="BL30" i="45" s="1"/>
  <c r="BK30" i="45" s="1"/>
  <c r="BJ30" i="45" s="1"/>
  <c r="BI30" i="45" s="1"/>
  <c r="BH30" i="45" s="1"/>
  <c r="BM35" i="45"/>
  <c r="BL35" i="45" s="1"/>
  <c r="BK35" i="45" s="1"/>
  <c r="BJ35" i="45" s="1"/>
  <c r="BI35" i="45" s="1"/>
  <c r="BH35" i="45" s="1"/>
  <c r="BM29" i="45"/>
  <c r="BL29" i="45" s="1"/>
  <c r="BK29" i="45" s="1"/>
  <c r="BJ29" i="45" s="1"/>
  <c r="BI29" i="45" s="1"/>
  <c r="BH29" i="45" s="1"/>
  <c r="BM12" i="45"/>
  <c r="BL12" i="45" s="1"/>
  <c r="BK12" i="45" s="1"/>
  <c r="BJ12" i="45" s="1"/>
  <c r="BI12" i="45" s="1"/>
  <c r="BH12" i="45" s="1"/>
  <c r="BM49" i="45"/>
  <c r="BM50" i="45"/>
  <c r="BL50" i="45" s="1"/>
  <c r="BK50" i="45" s="1"/>
  <c r="BJ50" i="45" s="1"/>
  <c r="BI50" i="45" s="1"/>
  <c r="BH50" i="45" s="1"/>
  <c r="BM32" i="45"/>
  <c r="BL32" i="45" s="1"/>
  <c r="BK32" i="45" s="1"/>
  <c r="BJ32" i="45" s="1"/>
  <c r="BI32" i="45" s="1"/>
  <c r="BH32" i="45" s="1"/>
  <c r="BL7" i="45" l="1"/>
  <c r="BK7" i="45" s="1"/>
  <c r="BJ7" i="45" s="1"/>
  <c r="BI7" i="45" s="1"/>
  <c r="BH7" i="45" s="1"/>
  <c r="BL8" i="45"/>
  <c r="BK8" i="45" s="1"/>
  <c r="BJ8" i="45" s="1"/>
  <c r="BI8" i="45" s="1"/>
  <c r="BH8" i="45" s="1"/>
  <c r="BL4" i="45"/>
  <c r="BK4" i="45" s="1"/>
  <c r="BJ4" i="45" s="1"/>
  <c r="BI4" i="45" s="1"/>
  <c r="BH4" i="45" s="1"/>
  <c r="BL15" i="45"/>
  <c r="BK15" i="45" s="1"/>
  <c r="BJ15" i="45" s="1"/>
  <c r="BI15" i="45" s="1"/>
  <c r="BH15" i="45" s="1"/>
  <c r="BL14" i="45"/>
  <c r="BK14" i="45" s="1"/>
  <c r="BJ14" i="45" s="1"/>
  <c r="BI14" i="45" s="1"/>
  <c r="BH14" i="45" s="1"/>
  <c r="BL16" i="45"/>
  <c r="BK16" i="45" s="1"/>
  <c r="BJ16" i="45" s="1"/>
  <c r="BI16" i="45" s="1"/>
  <c r="BH16" i="45" s="1"/>
  <c r="BL24" i="45"/>
  <c r="BK24" i="45" s="1"/>
  <c r="BJ24" i="45" s="1"/>
  <c r="BI24" i="45" s="1"/>
  <c r="BH24" i="45" s="1"/>
  <c r="BL45" i="45"/>
  <c r="BK45" i="45" s="1"/>
  <c r="BJ45" i="45" s="1"/>
  <c r="BI45" i="45" s="1"/>
  <c r="BH45" i="45" s="1"/>
  <c r="BL25" i="45"/>
  <c r="BK25" i="45" s="1"/>
  <c r="BJ25" i="45" s="1"/>
  <c r="BI25" i="45" s="1"/>
  <c r="BH25" i="45" s="1"/>
  <c r="BL5" i="45"/>
  <c r="BK5" i="45" s="1"/>
  <c r="BJ5" i="45" s="1"/>
  <c r="BI5" i="45" s="1"/>
  <c r="BH5" i="45" s="1"/>
  <c r="BL20" i="45"/>
  <c r="BK20" i="45" s="1"/>
  <c r="BJ20" i="45" s="1"/>
  <c r="BI20" i="45" s="1"/>
  <c r="BH20" i="45" s="1"/>
  <c r="BL46" i="45"/>
  <c r="BK46" i="45" s="1"/>
  <c r="BJ46" i="45" s="1"/>
  <c r="BI46" i="45" s="1"/>
  <c r="BH46" i="45" s="1"/>
  <c r="BL40" i="45"/>
  <c r="BK40" i="45" s="1"/>
  <c r="BJ40" i="45" s="1"/>
  <c r="BI40" i="45" s="1"/>
  <c r="BH40" i="45" s="1"/>
  <c r="BL49" i="45"/>
  <c r="BK49" i="45" s="1"/>
  <c r="BJ49" i="45" s="1"/>
  <c r="BI49" i="45" s="1"/>
  <c r="BH49" i="45" s="1"/>
  <c r="BL21" i="45"/>
  <c r="BK21" i="45" s="1"/>
  <c r="BJ21" i="45" s="1"/>
  <c r="BI21" i="45" s="1"/>
  <c r="BH21" i="45" s="1"/>
  <c r="BL10" i="45"/>
  <c r="BK10" i="45" s="1"/>
  <c r="BJ10" i="45" s="1"/>
  <c r="BI10" i="45" s="1"/>
  <c r="BH10" i="45" s="1"/>
  <c r="BL18" i="45"/>
  <c r="BK18" i="45" s="1"/>
  <c r="BJ18" i="45" s="1"/>
  <c r="BI18" i="45" s="1"/>
  <c r="BH18" i="45" s="1"/>
  <c r="BL23" i="45"/>
  <c r="BK23" i="45" s="1"/>
  <c r="BJ23" i="45" s="1"/>
  <c r="BI23" i="45" s="1"/>
  <c r="BH23" i="45" s="1"/>
  <c r="BL27" i="45"/>
  <c r="BK27" i="45" s="1"/>
  <c r="BJ27" i="45" s="1"/>
  <c r="BI27" i="45" s="1"/>
  <c r="BH2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<sst xmlns="http://schemas.openxmlformats.org/spreadsheetml/2006/main" count="6763" uniqueCount="1522">
  <si>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</si>
  <si>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</si>
  <si>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</si>
  <si>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</si>
  <si>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</si>
  <si>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</si>
  <si>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</si>
  <si>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</si>
  <si>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</si>
  <si>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</si>
  <si>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</si>
  <si>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</si>
  <si>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</si>
  <si>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</si>
  <si>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</si>
  <si>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</si>
  <si>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</si>
  <si>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</si>
  <si>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</si>
  <si>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</si>
  <si>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</si>
  <si>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</si>
  <si>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</si>
  <si>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</si>
  <si>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</si>
  <si>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</si>
  <si>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</si>
  <si>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</si>
  <si>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</si>
  <si>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</si>
  <si>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</si>
  <si>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</si>
  <si>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</si>
  <si>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</si>
  <si>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</si>
  <si>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</si>
  <si>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</si>
  <si>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</si>
  <si>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</si>
  <si>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</si>
  <si>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</si>
  <si>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</si>
  <si>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</si>
  <si>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</si>
  <si>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</si>
  <si>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</si>
  <si>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</si>
  <si>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</si>
  <si>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</si>
  <si>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</si>
  <si>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</si>
  <si>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</si>
  <si>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</si>
  <si>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</si>
  <si>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</si>
  <si>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</si>
  <si>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</si>
  <si>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</si>
  <si>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</si>
  <si>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</si>
  <si>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</si>
  <si>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</si>
  <si>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</si>
  <si>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</si>
  <si>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</si>
  <si>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</si>
  <si>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</si>
  <si>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</si>
  <si>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</si>
  <si>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</si>
  <si>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</si>
  <si>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</si>
  <si>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</si>
  <si>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</si>
  <si>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</si>
  <si>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</si>
  <si>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</si>
  <si>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</si>
  <si>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</si>
  <si>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</si>
  <si>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</si>
  <si>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</si>
  <si>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</si>
  <si>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</si>
  <si>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</si>
  <si>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</si>
  <si>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</si>
  <si>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</si>
  <si>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</si>
  <si>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</si>
  <si>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</si>
  <si>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</si>
  <si>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</si>
  <si>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</si>
  <si>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</si>
  <si>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</si>
  <si>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</si>
  <si>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</si>
  <si>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</si>
  <si>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</si>
  <si>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</si>
  <si>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</si>
  <si>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</si>
  <si>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</si>
  <si>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</si>
  <si>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</si>
  <si>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</si>
  <si>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</si>
  <si>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</si>
  <si>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</si>
  <si>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</si>
  <si>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</si>
  <si>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</si>
  <si>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</si>
  <si>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</si>
  <si>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</si>
  <si>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</si>
  <si>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</si>
  <si>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</si>
  <si>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</si>
  <si>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</si>
  <si>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</si>
  <si>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</si>
  <si>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</si>
  <si>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</si>
  <si>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</si>
  <si>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</si>
  <si>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</si>
  <si>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</si>
  <si>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</si>
  <si>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</si>
  <si>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</si>
  <si>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</si>
  <si>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</si>
  <si>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</si>
  <si>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</si>
  <si>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</si>
  <si>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</si>
  <si>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</si>
  <si>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</si>
  <si>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</si>
  <si>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</si>
  <si>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</si>
  <si>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</si>
  <si>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</si>
  <si>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</si>
  <si>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</si>
  <si>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</si>
  <si>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</si>
  <si>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</si>
  <si>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</si>
  <si>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</si>
  <si>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</si>
  <si>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</si>
  <si>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</si>
  <si>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</si>
  <si>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</si>
  <si>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</si>
  <si>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</si>
  <si>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</si>
  <si>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</si>
  <si>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</si>
  <si>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</si>
  <si>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</si>
  <si>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</si>
  <si>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</si>
  <si>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</si>
  <si>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</si>
  <si>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</si>
  <si>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</si>
  <si>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</si>
  <si>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</si>
  <si>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</si>
  <si>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</si>
  <si>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</si>
  <si>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</si>
  <si>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</si>
  <si>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</si>
  <si>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</si>
  <si>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</si>
  <si>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</si>
  <si>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</si>
  <si>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</si>
  <si>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</si>
  <si>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</si>
  <si>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</si>
  <si>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</si>
  <si>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</si>
  <si>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</si>
  <si>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</si>
  <si>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</si>
  <si>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</si>
  <si>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</si>
  <si>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</si>
  <si>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</si>
  <si>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</si>
  <si>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</si>
  <si>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</si>
  <si>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</si>
  <si>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</si>
  <si>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</si>
  <si>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</si>
  <si>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</si>
  <si>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</si>
  <si>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</si>
  <si>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</si>
  <si>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</si>
  <si>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</si>
  <si>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</si>
  <si>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</si>
  <si>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</si>
  <si>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</si>
  <si>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</si>
  <si>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</si>
  <si>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</si>
  <si>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</si>
  <si>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</si>
  <si>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</si>
  <si>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</si>
  <si>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</si>
  <si>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</si>
  <si>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</si>
  <si>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</si>
  <si>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</si>
  <si>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</si>
  <si>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</si>
  <si>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</si>
  <si>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</si>
  <si>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</si>
  <si>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</si>
  <si>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</si>
  <si>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</si>
  <si>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</si>
  <si>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</si>
  <si>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</si>
  <si>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</si>
  <si>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</si>
  <si>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</si>
  <si>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</si>
  <si>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</si>
  <si>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</si>
  <si>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</si>
  <si>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</si>
  <si>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</si>
  <si>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</si>
  <si>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</si>
  <si>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</si>
  <si>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</si>
  <si>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</si>
  <si>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</si>
  <si>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</si>
  <si>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</si>
  <si>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</si>
  <si>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</si>
  <si>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</si>
  <si>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</si>
  <si>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</si>
  <si>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</si>
  <si>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</si>
  <si>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</si>
  <si>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</si>
  <si>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</si>
  <si>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</si>
  <si>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</si>
  <si>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</si>
  <si>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</si>
  <si>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</si>
  <si>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</si>
  <si>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</si>
  <si>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</si>
  <si>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</si>
  <si>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</si>
  <si>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</si>
  <si>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</si>
  <si>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</si>
  <si>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</si>
  <si>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</si>
  <si>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</si>
  <si>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</si>
  <si>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</si>
  <si>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</si>
  <si>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</si>
  <si>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</si>
  <si>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</si>
  <si>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</si>
  <si>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</si>
  <si>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</si>
  <si>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</si>
  <si>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</si>
  <si>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</si>
  <si>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</si>
  <si>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</si>
  <si>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</si>
  <si>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</si>
  <si>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</si>
  <si>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</si>
  <si>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</si>
  <si>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</si>
  <si>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</si>
  <si>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</si>
  <si>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</si>
  <si>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</si>
  <si>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</si>
  <si>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</si>
  <si>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</si>
  <si>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</si>
  <si>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</si>
  <si>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</si>
  <si>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</si>
  <si>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</si>
  <si>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</si>
  <si>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</si>
  <si>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</si>
  <si>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</si>
  <si>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</si>
  <si>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</si>
  <si>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</si>
  <si>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</si>
  <si>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</si>
  <si>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</si>
  <si>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</si>
  <si>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</si>
  <si>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</si>
  <si>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</si>
  <si>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</si>
  <si>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</si>
  <si>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</si>
  <si>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</si>
  <si>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</si>
  <si>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</si>
  <si>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</si>
  <si>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</si>
  <si>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</si>
  <si>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</si>
  <si>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</si>
  <si>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</si>
  <si>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</si>
  <si>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</si>
  <si>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</si>
  <si>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</si>
  <si>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</si>
  <si>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</si>
  <si>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</si>
  <si>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</si>
  <si>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</si>
  <si>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</si>
  <si>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</si>
  <si>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</si>
  <si>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</si>
  <si>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</si>
  <si>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</si>
  <si>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</si>
  <si>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</si>
  <si>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</si>
  <si>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</si>
  <si>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</si>
  <si>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</si>
  <si>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</si>
  <si>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</si>
  <si>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</si>
  <si>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</si>
  <si>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</si>
  <si>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</si>
  <si>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</si>
  <si>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</si>
  <si>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</si>
  <si>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</si>
  <si>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</si>
  <si>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</si>
  <si>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</si>
  <si>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</si>
  <si>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</si>
  <si>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</si>
  <si>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</si>
  <si>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</si>
  <si>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</si>
  <si>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</si>
  <si>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</si>
  <si>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</si>
  <si>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</si>
  <si>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</si>
  <si>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</si>
  <si>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</si>
  <si>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</si>
  <si>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</si>
  <si>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</si>
  <si>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</si>
  <si>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</si>
  <si>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</si>
  <si>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</si>
  <si>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</si>
  <si>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</si>
  <si>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</si>
  <si>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</si>
  <si>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</si>
  <si>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</si>
  <si>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</si>
  <si>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</si>
  <si>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</si>
  <si>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</si>
  <si>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</si>
  <si>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</si>
  <si>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</si>
  <si>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</si>
  <si>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</si>
  <si>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</si>
  <si>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</si>
  <si>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</si>
  <si>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</si>
  <si>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</si>
  <si>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</si>
  <si>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</si>
  <si>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</si>
  <si>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</si>
  <si>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</si>
  <si>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</si>
  <si>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</si>
  <si>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</si>
  <si>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</si>
  <si>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</si>
  <si>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</si>
  <si>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</si>
  <si>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</si>
  <si>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</si>
  <si>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</si>
  <si>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</si>
  <si>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</si>
  <si>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</si>
  <si>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</si>
  <si>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</si>
  <si>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</si>
  <si>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</si>
  <si>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</si>
  <si>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</si>
  <si>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</si>
  <si>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</si>
  <si>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</si>
  <si>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</si>
  <si>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</si>
  <si>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</si>
  <si>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</si>
  <si>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</si>
  <si>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</si>
  <si>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</si>
  <si>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</si>
  <si>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</si>
  <si>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</si>
  <si>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</si>
  <si>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</si>
  <si>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</si>
  <si>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</si>
  <si>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</si>
  <si>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</si>
  <si>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</si>
  <si>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</si>
  <si>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</si>
  <si>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</si>
  <si>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</si>
  <si>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</si>
  <si>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</si>
  <si>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</si>
  <si>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</si>
  <si>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</si>
  <si>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</si>
  <si>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</si>
  <si>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</si>
  <si>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</si>
  <si>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</si>
  <si>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</si>
  <si>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</si>
  <si>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</si>
  <si>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</si>
  <si>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</si>
  <si>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</si>
  <si>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</si>
  <si>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</si>
  <si>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</si>
  <si>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</si>
  <si>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</si>
  <si>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</si>
  <si>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</si>
  <si>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</si>
  <si>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</si>
  <si>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</si>
  <si>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</si>
  <si>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</si>
  <si>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</si>
  <si>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</si>
  <si>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</si>
  <si>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</si>
  <si>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</si>
  <si>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</si>
  <si>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</si>
  <si>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</si>
  <si>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</si>
  <si>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</si>
  <si>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</si>
  <si>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</si>
  <si>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</si>
  <si>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</si>
  <si>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</si>
  <si>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</si>
  <si>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</si>
  <si>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</si>
  <si>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</si>
  <si>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</si>
  <si>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</si>
  <si>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</si>
  <si>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</si>
  <si>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</si>
  <si>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</si>
  <si>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</si>
  <si>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</si>
  <si>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</si>
  <si>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</si>
  <si>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</si>
  <si>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</si>
  <si>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</si>
  <si>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</si>
  <si>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</si>
  <si>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</si>
  <si>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</si>
  <si>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</si>
  <si>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</si>
  <si>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</si>
  <si>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</si>
  <si>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</si>
  <si>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</si>
  <si>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</si>
  <si>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</si>
  <si>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</si>
  <si>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</si>
  <si>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</si>
  <si>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</si>
  <si>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</si>
  <si>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</si>
  <si>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</si>
  <si>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</si>
  <si>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</si>
  <si>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</si>
  <si>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</si>
  <si>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</si>
  <si>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</si>
  <si>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</si>
  <si>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</si>
  <si>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</si>
  <si>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</si>
  <si>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</si>
  <si>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</si>
  <si>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</si>
  <si>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</si>
  <si>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</si>
  <si>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</si>
  <si>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</si>
  <si>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</si>
  <si>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</si>
  <si>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</si>
  <si>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</si>
  <si>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</si>
  <si>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</si>
  <si>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</si>
  <si>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</si>
  <si>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</si>
  <si>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</si>
  <si>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</si>
  <si>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</si>
  <si>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</si>
  <si>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</si>
  <si>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</si>
  <si>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</si>
  <si>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</si>
  <si>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</si>
  <si>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</si>
  <si>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</si>
  <si>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</si>
  <si>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</si>
  <si>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</si>
  <si>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</si>
  <si>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</si>
  <si>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</si>
  <si>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</si>
  <si>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</si>
  <si>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</si>
  <si>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</si>
  <si>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</si>
  <si>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</si>
  <si>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</si>
  <si>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</si>
  <si>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</si>
  <si>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</si>
  <si>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</si>
  <si>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</si>
  <si>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</si>
  <si>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</si>
  <si>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</si>
  <si>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</si>
  <si>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</si>
  <si>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</si>
  <si>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</si>
  <si>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</si>
  <si>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</si>
  <si>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</si>
  <si>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</si>
  <si>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</si>
  <si>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</si>
  <si>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</si>
  <si>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</si>
  <si>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</si>
  <si>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</si>
  <si>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</si>
  <si>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</si>
  <si>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</si>
  <si>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</si>
  <si>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</si>
  <si>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</si>
  <si>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</si>
  <si>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</si>
  <si>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</si>
  <si>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</si>
  <si>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</si>
  <si>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</si>
  <si>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</si>
  <si>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</si>
  <si>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</si>
  <si>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</si>
  <si>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</si>
  <si>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</si>
  <si>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</si>
  <si>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</si>
  <si>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</si>
  <si>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</si>
  <si>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</si>
  <si>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</si>
  <si>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</si>
  <si>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</si>
  <si>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</si>
  <si>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</si>
  <si>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</si>
  <si>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</si>
  <si>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</si>
  <si>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</si>
  <si>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</si>
  <si>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</si>
  <si>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</si>
  <si>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</si>
  <si>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</si>
  <si>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</si>
  <si>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</si>
  <si>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</si>
  <si>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</si>
  <si>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</si>
  <si>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</si>
  <si>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</si>
  <si>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</si>
  <si>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</si>
  <si>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</si>
  <si>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</si>
  <si>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</si>
  <si>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</si>
  <si>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</si>
  <si>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</si>
  <si>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</si>
  <si>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</si>
  <si>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</si>
  <si>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</si>
  <si>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</si>
  <si>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</si>
  <si>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</si>
  <si>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</si>
  <si>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</si>
  <si>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</si>
  <si>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</si>
  <si>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</si>
  <si>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</si>
  <si>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</si>
  <si>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</si>
  <si>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</si>
  <si>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</si>
  <si>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</si>
  <si>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</si>
  <si>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</si>
  <si>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</si>
  <si>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</si>
  <si>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</si>
  <si>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</si>
  <si>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</si>
  <si>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</si>
  <si>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</si>
  <si>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</si>
  <si>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</si>
  <si>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</si>
  <si>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</si>
  <si>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</si>
  <si>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</si>
  <si>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</si>
  <si>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</si>
  <si>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</si>
  <si>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</si>
  <si>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</si>
  <si>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</si>
  <si>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</si>
  <si>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</si>
  <si>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</si>
  <si>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</si>
  <si>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</si>
  <si>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</si>
  <si>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</si>
  <si>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</si>
  <si>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</si>
  <si>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</si>
  <si>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</si>
  <si>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</si>
  <si>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</si>
  <si>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</si>
  <si>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</si>
  <si>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</si>
  <si>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</si>
  <si>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</si>
  <si>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</si>
  <si>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</si>
  <si>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</si>
  <si>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</si>
  <si>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</si>
  <si>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</si>
  <si>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</si>
  <si>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</si>
  <si>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</si>
  <si>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</si>
  <si>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</si>
  <si>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</si>
  <si>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</si>
  <si>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</si>
  <si>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</si>
  <si>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</si>
  <si>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</si>
  <si>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</si>
  <si>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</si>
  <si>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</si>
  <si>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</si>
  <si>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</si>
  <si>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</si>
  <si>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</si>
  <si>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</si>
  <si>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</si>
  <si>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</si>
  <si>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</si>
  <si>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</si>
  <si>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</si>
  <si>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</si>
  <si>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</si>
  <si>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</si>
  <si>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</si>
  <si>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</si>
  <si>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</si>
  <si>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</si>
  <si>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</si>
  <si>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</si>
  <si>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</si>
  <si>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</si>
  <si>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</si>
  <si>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</si>
  <si>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</si>
  <si>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</si>
  <si>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</si>
  <si>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</si>
  <si>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</si>
  <si>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</si>
  <si>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</si>
  <si>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</si>
  <si>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</si>
  <si>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</si>
  <si>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</si>
  <si>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</si>
  <si>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</si>
  <si>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</si>
  <si>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</si>
  <si>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</si>
  <si>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</si>
  <si>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</si>
  <si>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</si>
  <si>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</si>
  <si>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</si>
  <si>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</si>
  <si>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</si>
  <si>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</si>
  <si>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</si>
  <si>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</si>
  <si>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</si>
  <si>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</si>
  <si>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</si>
  <si>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</si>
  <si>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</si>
  <si>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</si>
  <si>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</si>
  <si>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</si>
  <si>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</si>
  <si>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</si>
  <si>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</si>
  <si>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</si>
  <si>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</si>
  <si>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</si>
  <si>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</si>
  <si>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</si>
  <si>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</si>
  <si>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</si>
  <si>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</si>
  <si>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</si>
  <si>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</si>
  <si>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</si>
  <si>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</si>
  <si>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</si>
  <si>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</si>
  <si>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</si>
  <si>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</si>
  <si>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</si>
  <si>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</si>
  <si>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</si>
  <si>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</si>
  <si>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</si>
  <si>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</si>
  <si>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</si>
  <si>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</si>
  <si>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</si>
  <si>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</si>
  <si>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</si>
  <si>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</si>
  <si>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</si>
  <si>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</si>
  <si>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</si>
  <si>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</si>
  <si>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</si>
  <si>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</si>
  <si>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</si>
  <si>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</si>
  <si>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</si>
  <si>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</si>
  <si>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</si>
  <si>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</si>
  <si>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</si>
  <si>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</si>
  <si>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</si>
  <si>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</si>
  <si>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</si>
  <si>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</si>
  <si>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</si>
  <si>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</si>
  <si>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</si>
  <si>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</si>
  <si>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</si>
  <si>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</si>
  <si>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</si>
  <si>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</si>
  <si>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</si>
  <si>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</si>
  <si>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</si>
  <si>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</si>
  <si>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</si>
  <si>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</si>
  <si>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</si>
  <si>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</si>
  <si>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</si>
  <si>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</si>
  <si>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</si>
  <si>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</si>
  <si>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</si>
  <si>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</si>
  <si>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</si>
  <si>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</si>
  <si>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</si>
  <si>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</si>
  <si>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</si>
  <si>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</si>
  <si>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</si>
  <si>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</si>
  <si>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</si>
  <si>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</si>
  <si>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</si>
  <si>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</si>
  <si>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</si>
  <si>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</si>
  <si>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</si>
  <si>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</si>
  <si>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</si>
  <si>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</si>
  <si>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</si>
  <si>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</si>
  <si>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</si>
  <si>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</si>
  <si>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</si>
  <si>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</si>
  <si>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</si>
  <si>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</si>
  <si>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</si>
  <si>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</si>
  <si>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</si>
  <si>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</si>
  <si>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</si>
  <si>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</si>
  <si>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</si>
  <si>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</si>
  <si>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</si>
  <si>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</si>
  <si>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</si>
  <si>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</si>
  <si>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</si>
  <si>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</si>
  <si>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</si>
  <si>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</si>
  <si>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</si>
  <si>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</si>
  <si>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</si>
  <si>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</si>
  <si>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</si>
  <si>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</si>
  <si>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</si>
  <si>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</si>
  <si>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</si>
  <si>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</si>
  <si>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</si>
  <si>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</si>
  <si>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</si>
  <si>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</si>
  <si>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</si>
  <si>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</si>
  <si>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</si>
  <si>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</si>
  <si>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</si>
  <si>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</si>
  <si>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</si>
  <si>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</si>
  <si>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</si>
  <si>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</si>
  <si>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</si>
  <si>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</si>
  <si>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</si>
  <si>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</si>
  <si>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</si>
  <si>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</si>
  <si>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</si>
  <si>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</si>
  <si>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</si>
  <si>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</si>
  <si>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</si>
  <si>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</si>
  <si>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</si>
  <si>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</si>
  <si>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</si>
  <si>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</si>
  <si>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</si>
  <si>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</si>
  <si>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</si>
  <si>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</si>
  <si>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</si>
  <si>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</si>
  <si>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</si>
  <si>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</si>
  <si>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</si>
  <si>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</si>
  <si>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</si>
  <si>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</si>
  <si>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</si>
  <si>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</si>
  <si>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</si>
  <si>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</si>
  <si>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</si>
  <si>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</si>
  <si>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</si>
  <si>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</si>
  <si>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</si>
  <si>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</si>
  <si>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</si>
  <si>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</si>
  <si>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</si>
  <si>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</si>
  <si>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</si>
  <si>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</si>
  <si>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</si>
  <si>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</si>
  <si>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</si>
  <si>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</si>
  <si>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</si>
  <si>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</si>
  <si>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</si>
  <si>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</si>
  <si>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</si>
  <si>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</si>
  <si>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</si>
  <si>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</si>
  <si>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</si>
  <si>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</si>
  <si>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</si>
  <si>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</si>
  <si>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</si>
  <si>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</si>
  <si>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</si>
  <si>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</si>
  <si>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</si>
  <si>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</si>
  <si>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</si>
  <si>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</si>
  <si>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</si>
  <si>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</si>
  <si>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</si>
  <si>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</si>
  <si>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</si>
  <si>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</si>
  <si>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</si>
  <si>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</si>
  <si>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</si>
  <si>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</si>
  <si>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</si>
  <si>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</si>
  <si>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</si>
  <si>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</si>
  <si>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</si>
  <si>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</si>
  <si>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</si>
  <si>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</si>
  <si>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</si>
  <si>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</si>
  <si>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</si>
  <si>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</si>
  <si>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</si>
  <si>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</si>
  <si>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</si>
  <si>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</si>
  <si>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</si>
  <si>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</si>
  <si>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</si>
  <si>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</si>
  <si>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</si>
  <si>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</si>
  <si>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</si>
  <si>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</si>
  <si>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</si>
  <si>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</si>
  <si>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</si>
  <si>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</si>
  <si>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</si>
  <si>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</si>
  <si>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</si>
  <si>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</si>
  <si>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</si>
  <si>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</si>
  <si>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</si>
  <si>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</si>
  <si>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</si>
  <si>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</si>
  <si>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</si>
  <si>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</si>
  <si>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</si>
  <si>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</si>
  <si>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</si>
  <si>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</si>
  <si>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</si>
  <si>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</si>
  <si>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</si>
  <si>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</si>
  <si>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</si>
  <si>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</si>
  <si>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</si>
  <si>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</si>
  <si>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</si>
  <si>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</si>
  <si>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</si>
  <si>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</si>
  <si>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</si>
  <si>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</si>
  <si>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</si>
  <si>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</si>
  <si>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</si>
  <si>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</si>
  <si>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</si>
  <si>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</si>
  <si>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</si>
  <si>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</si>
  <si>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</si>
  <si>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</si>
  <si>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</si>
  <si>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</si>
  <si>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</si>
  <si>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</si>
  <si>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</si>
  <si>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</si>
  <si>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</si>
  <si>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</si>
  <si>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</si>
  <si>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</si>
  <si>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</si>
  <si>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</si>
  <si>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</si>
  <si>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</si>
  <si>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</si>
  <si>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</si>
  <si>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</si>
  <si>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</si>
  <si>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</si>
  <si>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</si>
  <si>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</si>
  <si>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</si>
  <si>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</si>
  <si>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</si>
  <si>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</si>
  <si>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</si>
  <si>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</si>
  <si>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</si>
  <si>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</si>
  <si>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</si>
  <si>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</si>
  <si>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</si>
  <si>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</si>
  <si>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</si>
  <si>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</si>
  <si>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</si>
  <si>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</si>
  <si>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</si>
  <si>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</si>
  <si>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</si>
  <si>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</si>
  <si>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</si>
  <si>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</si>
  <si>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</si>
  <si>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</si>
  <si>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</si>
  <si>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</si>
  <si>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</si>
  <si>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</si>
  <si>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</si>
  <si>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</si>
  <si>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</si>
  <si>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</si>
  <si>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</si>
  <si>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</si>
  <si>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</si>
  <si>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</si>
  <si>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</si>
  <si>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</si>
  <si>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</si>
  <si>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</si>
  <si>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</si>
  <si>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</si>
  <si>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</si>
  <si>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</si>
  <si>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</si>
  <si>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</si>
  <si>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</si>
  <si>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</si>
  <si>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</si>
  <si>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</si>
  <si>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</si>
  <si>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</si>
  <si>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</si>
  <si>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</si>
  <si>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</si>
  <si>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</si>
  <si>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</si>
  <si>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</si>
  <si>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</si>
  <si>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</si>
  <si>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</si>
  <si>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</si>
  <si>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</si>
  <si>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</si>
  <si>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</si>
  <si>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</si>
  <si>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</si>
  <si>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</si>
  <si>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</si>
  <si>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</si>
  <si>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</si>
  <si>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</si>
  <si>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</si>
  <si>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</si>
  <si>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</si>
  <si>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</si>
  <si>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</si>
  <si>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</si>
  <si>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</si>
  <si>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</si>
  <si>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</si>
  <si>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</si>
  <si>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</si>
  <si>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</si>
  <si>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</si>
  <si>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</si>
  <si>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</si>
  <si>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</si>
  <si>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</si>
  <si>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</si>
  <si>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</si>
  <si>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</si>
  <si>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</si>
  <si>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</si>
  <si>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</si>
  <si>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</si>
  <si>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</si>
  <si>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</si>
  <si>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</si>
  <si>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</si>
  <si>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</si>
  <si>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</si>
  <si>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</si>
  <si>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</si>
  <si>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</si>
  <si>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</si>
  <si>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</si>
  <si>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</si>
  <si>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</si>
  <si>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</si>
  <si>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</si>
  <si>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</si>
  <si>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</si>
  <si>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</si>
  <si>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</si>
  <si>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</si>
  <si>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</si>
  <si>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</si>
  <si>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</si>
  <si>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</si>
  <si>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</si>
  <si>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</si>
  <si>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</si>
  <si>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</si>
  <si>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</si>
  <si>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</si>
  <si>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</si>
  <si>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</si>
  <si>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</si>
  <si>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</si>
  <si>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</si>
  <si>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</si>
  <si>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</si>
  <si>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</si>
  <si>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</si>
  <si>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</si>
  <si>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</si>
  <si>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</si>
  <si>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</si>
  <si>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</si>
  <si>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</si>
  <si>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</si>
  <si>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</si>
  <si>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</si>
  <si>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</si>
  <si>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</si>
  <si>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</si>
  <si>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</si>
  <si>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</si>
  <si>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</si>
  <si>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</si>
  <si>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</si>
  <si>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</si>
  <si>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</si>
  <si>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</si>
  <si>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</si>
  <si>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</si>
  <si>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</si>
  <si>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</si>
  <si>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</si>
  <si>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</si>
  <si>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</si>
  <si>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</si>
  <si>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</si>
  <si>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</si>
  <si>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</si>
  <si>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</si>
  <si>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</si>
  <si>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</si>
  <si>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</si>
  <si>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</si>
  <si>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</si>
  <si>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</si>
  <si>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</si>
  <si>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</si>
  <si>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</si>
  <si>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</si>
  <si>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</si>
  <si>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</si>
  <si>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</si>
  <si>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</si>
  <si>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</si>
  <si>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</si>
  <si>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</si>
  <si>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</si>
  <si>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</si>
  <si>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</si>
  <si>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</si>
  <si>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</si>
  <si>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</si>
  <si>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</si>
  <si>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</si>
  <si>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</si>
  <si>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</si>
  <si>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</si>
  <si>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</si>
  <si>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</si>
  <si>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</si>
  <si>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</si>
  <si>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</si>
  <si>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</si>
  <si>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</si>
  <si>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</si>
  <si>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</si>
  <si>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</si>
  <si>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</si>
  <si>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</si>
  <si>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</si>
  <si>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</si>
  <si>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</si>
  <si>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</si>
  <si>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</si>
  <si>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</si>
  <si>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</si>
  <si>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</si>
  <si>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</si>
  <si>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</si>
  <si>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</si>
  <si>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</si>
  <si>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</si>
  <si>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</si>
  <si>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</si>
  <si>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</si>
  <si>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</si>
  <si>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</si>
  <si>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</si>
  <si>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</si>
  <si>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</si>
  <si>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</si>
  <si>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</si>
  <si>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</si>
  <si>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</si>
  <si>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</si>
  <si>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</si>
  <si>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</si>
  <si>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</si>
  <si>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</si>
  <si>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</si>
  <si>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</si>
  <si>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</si>
  <si>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</si>
  <si>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</si>
  <si>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</si>
  <si>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</si>
  <si>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</si>
  <si>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</si>
  <si>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</si>
  <si>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</si>
  <si>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</si>
  <si>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</si>
  <si>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</si>
  <si>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</si>
  <si>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</si>
  <si>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</si>
  <si>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</si>
  <si>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</si>
  <si>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</si>
  <si>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</si>
  <si>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</si>
  <si>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</si>
  <si>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</si>
  <si>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</si>
  <si>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</si>
  <si>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</si>
  <si>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</si>
  <si>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</si>
  <si>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</si>
  <si>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</si>
  <si>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</si>
  <si>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</si>
  <si>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</si>
  <si>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</si>
  <si>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</si>
  <si>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</si>
  <si>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</si>
  <si>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</si>
  <si>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</si>
  <si>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</si>
  <si>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</si>
  <si>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</si>
  <si>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</si>
  <si>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</si>
  <si>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</si>
  <si>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</si>
  <si>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</si>
  <si>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</si>
  <si>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</si>
  <si>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</si>
  <si>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</si>
  <si>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</si>
  <si>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</si>
  <si>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</si>
  <si>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</si>
  <si>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</si>
  <si>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</si>
  <si>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</si>
  <si>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</si>
  <si>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</si>
  <si>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</si>
  <si>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</si>
  <si>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</si>
  <si>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</si>
  <si>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</si>
  <si>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</si>
  <si>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</si>
  <si>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</si>
  <si>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</si>
  <si>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</si>
  <si>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</si>
  <si>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</si>
  <si>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</si>
  <si>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</si>
  <si>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</si>
  <si>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</si>
  <si>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</si>
  <si>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</si>
  <si>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</si>
  <si>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</si>
  <si>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</si>
  <si>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</si>
  <si>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</si>
  <si>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</si>
  <si>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</si>
  <si>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</si>
  <si>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</si>
  <si>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</si>
  <si>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</si>
  <si>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</si>
  <si>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</si>
  <si>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</si>
  <si>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</si>
  <si>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</si>
  <si>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</si>
  <si>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</si>
  <si>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</si>
  <si>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</si>
  <si>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</si>
  <si>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</si>
  <si>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</si>
  <si>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</si>
  <si>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</si>
  <si>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</si>
  <si>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</si>
  <si>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</si>
  <si>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</si>
  <si>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</si>
  <si>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</si>
  <si>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</si>
  <si>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</si>
  <si>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</si>
  <si>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</si>
  <si>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</si>
  <si>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</si>
  <si>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</si>
  <si>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</si>
  <si>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</si>
  <si>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</si>
  <si>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</si>
  <si>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</si>
  <si>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</si>
  <si>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</si>
  <si>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</si>
  <si>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</si>
  <si>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</si>
  <si>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</si>
  <si>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</si>
  <si>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</si>
  <si>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</si>
  <si>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</si>
  <si>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</si>
  <si>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</si>
  <si>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</si>
  <si>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</si>
  <si>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</si>
  <si>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</si>
  <si>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</si>
  <si>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</si>
  <si>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</si>
  <si>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</si>
  <si>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</si>
  <si>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</si>
  <si>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</si>
  <si>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</si>
  <si>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</si>
  <si>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</si>
  <si>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</si>
  <si>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</si>
  <si>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</si>
  <si>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</si>
  <si>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</si>
  <si>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</si>
  <si>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</si>
  <si>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</si>
  <si>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</si>
  <si>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</si>
  <si>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</si>
  <si>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</si>
  <si>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</si>
  <si>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</si>
  <si>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</si>
  <si>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</si>
  <si>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</si>
  <si>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</si>
  <si>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</si>
  <si>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</si>
  <si>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</si>
  <si>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</si>
  <si>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</si>
  <si>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</si>
  <si>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</si>
  <si>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</si>
  <si>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</si>
  <si>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</si>
  <si>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</si>
  <si>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</si>
  <si>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</si>
  <si>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</si>
  <si>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Ousmane Dembele</t>
  </si>
  <si>
    <t>Lamine Yamal</t>
  </si>
  <si>
    <t>Kylian Mbappé</t>
  </si>
  <si>
    <t>Harry Kane</t>
  </si>
  <si>
    <t xml:space="preserve">Ousman Dembelé </t>
  </si>
  <si>
    <t xml:space="preserve">Kylian Mbappé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</si>
</sst>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99" customWidth="1"/>
    <col min="2" max="2" width="15.7109375" style="299" customWidth="1"/>
    <col min="3" max="3" width="26.7109375" style="299" customWidth="1"/>
    <col min="4" max="4" width="5.7109375" style="299" customWidth="1"/>
    <col min="5" max="9" width="11.28515625" style="319" customWidth="1"/>
    <col min="10" max="10" width="5.7109375" style="319" customWidth="1"/>
    <col min="11" max="11" width="26.7109375" style="319" customWidth="1"/>
    <col min="12" max="12" width="15.7109375" style="299" customWidth="1"/>
    <col min="13" max="13" width="10.42578125" style="299" customWidth="1"/>
    <col min="14" max="15" width="10.7109375" style="299" customWidth="1"/>
    <col min="16" max="16" width="12.140625" style="299" customWidth="1"/>
    <col min="17" max="17" width="6.140625" style="299" customWidth="1"/>
    <col min="18" max="31" width="10.7109375" style="299" customWidth="1"/>
    <col min="32" max="16384" width="10.7109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89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1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89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15" customHeight="1" thickBot="1">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19.89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15" customHeight="1" thickBot="1">
      <c r="A10" s="298"/>
      <c r="B10" s="19"/>
      <c r="C10" s="289" t="str">
        <f>Idiomas!D45</f>
        <v>Nombre</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19.89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1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14999999999999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15"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15" customHeight="1" thickBot="1">
      <c r="A17" s="298"/>
      <c r="B17" s="298"/>
      <c r="C17" s="298"/>
      <c r="D17" s="298"/>
      <c r="E17" s="677" t="str">
        <f>HYPERLINK(Idiomas!D10,Idiomas!D9)</f>
        <v>▼ Descargar Excel Administrador Porra ▼</v>
      </c>
      <c r="F17" s="678"/>
      <c r="G17" s="678"/>
      <c r="H17" s="678"/>
      <c r="I17" s="679"/>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15" customHeight="1" thickBot="1">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899999999999999" customHeight="1" thickBot="1">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81" zoomScaleNormal="100" workbookViewId="0">
      <selection activeCell="AZ55" sqref="AZ55"/>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customWidth="1"/>
    <col min="29" max="30" width="5.28515625" customWidth="1"/>
    <col min="31" max="31" width="3.28515625" customWidth="1"/>
    <col min="32" max="32" width="20.7109375" customWidth="1"/>
    <col min="33" max="33" width="3.42578125" customWidth="1"/>
    <col min="34" max="34" width="5.140625" style="187" customWidth="1"/>
    <col min="35" max="35" width="3.28515625" style="187"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71093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15"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149999999999999"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149999999999999"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e" cm="1" vm="1">
        <f t="array" aca="1" ref="AB4" ca="1">Ver_flag_local</f>
        <v>#VALUE!</v>
      </c>
      <c r="AC4" s="50">
        <v>2</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149999999999999"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e" cm="1" vm="3">
        <f t="array" aca="1" ref="AB5" ca="1">Ver_flag_local</f>
        <v>#VALUE!</v>
      </c>
      <c r="AC5" s="50">
        <v>3</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149999999999999"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3">
        <f t="array" aca="1" ref="AK6" ca="1">Ver_flag_visit</f>
        <v>#VALUE!</v>
      </c>
      <c r="AL6" s="34" t="str">
        <f ca="1">IFERROR(INDEX($BD$6:$BD$53,MATCH(AI6,$BN$6:$BN$53,0)),"")</f>
        <v>Corea del Sur</v>
      </c>
      <c r="AM6" s="35">
        <f t="shared" ref="AM6:AT9" ca="1" si="15">INDEX($BE$6:$BN$53,MATCH($AL6,$BD$6:$BD$53,0),MATCH(AM$5,$BE$5:$BN$5,0))</f>
        <v>9</v>
      </c>
      <c r="AN6" s="36">
        <f t="shared" ca="1" si="15"/>
        <v>3</v>
      </c>
      <c r="AO6" s="36">
        <f t="shared" ca="1" si="15"/>
        <v>3</v>
      </c>
      <c r="AP6" s="36">
        <f t="shared" ca="1" si="15"/>
        <v>0</v>
      </c>
      <c r="AQ6" s="36">
        <f t="shared" ca="1" si="15"/>
        <v>0</v>
      </c>
      <c r="AR6" s="36">
        <f t="shared" ca="1" si="15"/>
        <v>7</v>
      </c>
      <c r="AS6" s="36">
        <f t="shared" ca="1" si="15"/>
        <v>3</v>
      </c>
      <c r="AT6" s="41">
        <f t="shared" ca="1" si="15"/>
        <v>4</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4</v>
      </c>
      <c r="BL6" s="16">
        <f ca="1">+BJ6-BK6</f>
        <v>0</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Corea del Sur</v>
      </c>
    </row>
    <row r="7" spans="1:121" ht="16.149999999999999" customHeight="1">
      <c r="A7" s="16" t="str">
        <f ca="1">+Equipos!B4</f>
        <v>Corea del Sur</v>
      </c>
      <c r="B7" s="16"/>
      <c r="C7" s="16"/>
      <c r="D7" s="16" t="str">
        <f t="shared" si="0"/>
        <v>Visitante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e" cm="1" vm="1">
        <f t="array" aca="1" ref="AB7" ca="1">Ver_flag_local</f>
        <v>#VALUE!</v>
      </c>
      <c r="AC7" s="50">
        <v>1</v>
      </c>
      <c r="AD7" s="51">
        <v>2</v>
      </c>
      <c r="AE7" s="595" t="e" cm="1" vm="3">
        <f t="array" aca="1" ref="AE7" ca="1">Ver_flag_visit</f>
        <v>#VALUE!</v>
      </c>
      <c r="AF7" s="32" t="str">
        <f ca="1">A7</f>
        <v>Corea del Sur</v>
      </c>
      <c r="AG7" s="323">
        <f t="shared" si="13"/>
        <v>1</v>
      </c>
      <c r="AH7" s="195">
        <v>28</v>
      </c>
      <c r="AI7" s="181" t="str">
        <f>AJ7&amp;$B$4</f>
        <v>2A</v>
      </c>
      <c r="AJ7" s="42">
        <v>2</v>
      </c>
      <c r="AK7" s="598" t="e" cm="1" vm="1">
        <f t="array" aca="1" ref="AK7" ca="1">Ver_flag_visit</f>
        <v>#VALUE!</v>
      </c>
      <c r="AL7" s="37" t="str">
        <f ca="1">IFERROR(INDEX($BD$6:$BD$53,MATCH(AI7,$BN$6:$BN$53,0)),"")</f>
        <v>México</v>
      </c>
      <c r="AM7" s="38">
        <f t="shared" ca="1" si="15"/>
        <v>4</v>
      </c>
      <c r="AN7" s="39">
        <f t="shared" ca="1" si="15"/>
        <v>3</v>
      </c>
      <c r="AO7" s="39">
        <f t="shared" ca="1" si="15"/>
        <v>1</v>
      </c>
      <c r="AP7" s="39">
        <f t="shared" ca="1" si="15"/>
        <v>1</v>
      </c>
      <c r="AQ7" s="39">
        <f t="shared" ca="1" si="15"/>
        <v>1</v>
      </c>
      <c r="AR7" s="39">
        <f t="shared" ca="1" si="15"/>
        <v>4</v>
      </c>
      <c r="AS7" s="39">
        <f t="shared" ca="1" si="15"/>
        <v>4</v>
      </c>
      <c r="AT7" s="43">
        <f t="shared" ca="1" si="15"/>
        <v>0</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3</v>
      </c>
      <c r="BK7" s="16">
        <f t="shared" ca="1" si="21"/>
        <v>5</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México</v>
      </c>
    </row>
    <row r="8" spans="1:121" ht="16.149999999999999"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2</v>
      </c>
      <c r="AN8" s="39">
        <f t="shared" ca="1" si="15"/>
        <v>3</v>
      </c>
      <c r="AO8" s="39">
        <f t="shared" ca="1" si="15"/>
        <v>0</v>
      </c>
      <c r="AP8" s="39">
        <f t="shared" ca="1" si="15"/>
        <v>2</v>
      </c>
      <c r="AQ8" s="39">
        <f t="shared" ca="1" si="15"/>
        <v>1</v>
      </c>
      <c r="AR8" s="39">
        <f t="shared" ca="1" si="15"/>
        <v>3</v>
      </c>
      <c r="AS8" s="39">
        <f t="shared" ca="1" si="15"/>
        <v>5</v>
      </c>
      <c r="AT8" s="43">
        <f t="shared" ca="1" si="15"/>
        <v>-2</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9</v>
      </c>
      <c r="BF8" s="16">
        <f t="shared" ca="1" si="41"/>
        <v>3</v>
      </c>
      <c r="BG8" s="16">
        <f t="shared" ca="1" si="17"/>
        <v>3</v>
      </c>
      <c r="BH8" s="16">
        <f t="shared" ca="1" si="18"/>
        <v>0</v>
      </c>
      <c r="BI8" s="16">
        <f t="shared" ca="1" si="19"/>
        <v>0</v>
      </c>
      <c r="BJ8" s="16">
        <f t="shared" ca="1" si="20"/>
        <v>7</v>
      </c>
      <c r="BK8" s="16">
        <f t="shared" ca="1" si="21"/>
        <v>3</v>
      </c>
      <c r="BL8" s="16">
        <f t="shared" ca="1" si="42"/>
        <v>4</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9</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149999999999999"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e" cm="1" vm="2">
        <f t="array" aca="1" ref="AB9" ca="1">Ver_flag_local</f>
        <v>#VALUE!</v>
      </c>
      <c r="AC9" s="53">
        <v>1</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3</v>
      </c>
      <c r="AS9" s="47">
        <f t="shared" ca="1" si="15"/>
        <v>5</v>
      </c>
      <c r="AT9" s="48">
        <f t="shared" ca="1" si="15"/>
        <v>-2</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2</v>
      </c>
      <c r="BF9" s="16">
        <f t="shared" ca="1" si="41"/>
        <v>3</v>
      </c>
      <c r="BG9" s="16">
        <f t="shared" ca="1" si="17"/>
        <v>0</v>
      </c>
      <c r="BH9" s="16">
        <f t="shared" ca="1" si="18"/>
        <v>2</v>
      </c>
      <c r="BI9" s="16">
        <f t="shared" ca="1" si="19"/>
        <v>1</v>
      </c>
      <c r="BJ9" s="16">
        <f t="shared" ca="1" si="20"/>
        <v>3</v>
      </c>
      <c r="BK9" s="16">
        <f t="shared" ca="1" si="21"/>
        <v>5</v>
      </c>
      <c r="BL9" s="16">
        <f t="shared" ca="1" si="42"/>
        <v>-2</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2</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14999999999999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3</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14999999999999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1</v>
      </c>
      <c r="BK11" s="16">
        <f t="shared" ca="1" si="21"/>
        <v>5</v>
      </c>
      <c r="BL11" s="16">
        <f t="shared" ca="1" si="42"/>
        <v>-4</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149999999999999"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62" t="s">
        <v>1</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2</v>
      </c>
      <c r="BF12" s="16">
        <f t="shared" ca="1" si="41"/>
        <v>3</v>
      </c>
      <c r="BG12" s="16">
        <f t="shared" ca="1" si="17"/>
        <v>0</v>
      </c>
      <c r="BH12" s="16">
        <f t="shared" ca="1" si="18"/>
        <v>2</v>
      </c>
      <c r="BI12" s="16">
        <f t="shared" ca="1" si="19"/>
        <v>1</v>
      </c>
      <c r="BJ12" s="16">
        <f t="shared" ca="1" si="20"/>
        <v>3</v>
      </c>
      <c r="BK12" s="16">
        <f t="shared" ca="1" si="21"/>
        <v>5</v>
      </c>
      <c r="BL12" s="16">
        <f t="shared" ca="1" si="42"/>
        <v>-2</v>
      </c>
      <c r="BM12" s="16" t="str">
        <f t="shared" ca="1" si="22"/>
        <v>3B</v>
      </c>
      <c r="BN12" s="16" t="str">
        <f t="shared" ca="1" si="23"/>
        <v>3B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2</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3</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3</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3</v>
      </c>
      <c r="DE12" s="16"/>
      <c r="DF12" s="16">
        <f t="shared" ca="1" si="52"/>
        <v>3</v>
      </c>
      <c r="DG12" s="16" t="str">
        <f ca="1">IF(DB12="-","-",COUNTIFS(DF$6:DF$53,"&lt;"&amp;DF12,$BC$6:$BC$53,INDEX(T_Equipos[Grupo],MATCH(BD12,T_Equipos[NombreEquipo],0))))</f>
        <v>-</v>
      </c>
      <c r="DH12" s="16">
        <f ca="1">DA12+COUNTIFS(DB$6:DB$53,DB12,DG$6:DG$53,"&lt;"&amp;DG12,$BC$6:$BC$53,INDEX(T_Equipos[Grupo],MATCH(BD12,T_Equipos[NombreEquipo],0)))</f>
        <v>3</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Catar</v>
      </c>
    </row>
    <row r="13" spans="1:121" ht="16.149999999999999"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e" cm="1" vm="7">
        <f t="array" aca="1" ref="AB13" ca="1">Ver_flag_local</f>
        <v>#VALUE!</v>
      </c>
      <c r="AC13" s="50">
        <v>1</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Bosnia y Herzegovina</v>
      </c>
    </row>
    <row r="14" spans="1:121" ht="16.149999999999999"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62"/>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2</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10</v>
      </c>
      <c r="BK14" s="16">
        <f t="shared" ca="1" si="21"/>
        <v>3</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7</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(2)</v>
      </c>
      <c r="CZ14" s="16">
        <f t="shared" ca="1" si="37"/>
        <v>10</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(2)</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52"/>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38"/>
        <v>1</v>
      </c>
      <c r="DK14" s="16">
        <f t="shared" ca="1" si="39"/>
        <v>12</v>
      </c>
      <c r="DL14" s="16">
        <f t="shared" ca="1" si="40"/>
        <v>2</v>
      </c>
      <c r="DM14" s="16" t="str">
        <f t="shared" ca="1" si="46"/>
        <v>1.2</v>
      </c>
      <c r="DN14" s="16" t="e" cm="1" vm="9">
        <f t="array" aca="1" ref="DN14" ca="1">OFFSET(Horarios!$P$3,DJ14-1,0,DL14,1)</f>
        <v>#VALUE!</v>
      </c>
      <c r="DO14" s="16"/>
      <c r="DP14" s="16" t="s">
        <v>663</v>
      </c>
      <c r="DQ14" s="16" t="str">
        <f t="shared" ca="1" si="47"/>
        <v>Brasil</v>
      </c>
    </row>
    <row r="15" spans="1:121" ht="16.149999999999999"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62"/>
      <c r="X15" s="24">
        <f ca="1">Horarios!C15</f>
        <v>46192</v>
      </c>
      <c r="Y15" s="25">
        <f ca="1">Horarios!C15</f>
        <v>46192</v>
      </c>
      <c r="Z15" s="26" t="str">
        <f>$Z$6</f>
        <v>J2</v>
      </c>
      <c r="AA15" s="27" t="str">
        <f ca="1">A13</f>
        <v>Canadá</v>
      </c>
      <c r="AB15" s="49" t="e" cm="1" vm="5">
        <f t="array" aca="1" ref="AB15" ca="1">Ver_flag_local</f>
        <v>#VALUE!</v>
      </c>
      <c r="AC15" s="50">
        <v>1</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3</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10</v>
      </c>
      <c r="BK15" s="16">
        <f t="shared" ca="1" si="21"/>
        <v>3</v>
      </c>
      <c r="BL15" s="16">
        <f t="shared" ca="1" si="42"/>
        <v>7</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7</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(2)</v>
      </c>
      <c r="CZ15" s="16">
        <f t="shared" ca="1" si="37"/>
        <v>10</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(2)</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52"/>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38"/>
        <v>1</v>
      </c>
      <c r="DK15" s="16">
        <f t="shared" ca="1" si="39"/>
        <v>12</v>
      </c>
      <c r="DL15" s="16">
        <f t="shared" ca="1" si="40"/>
        <v>2</v>
      </c>
      <c r="DM15" s="16" t="str">
        <f t="shared" ca="1" si="46"/>
        <v>1.2</v>
      </c>
      <c r="DN15" s="16" t="e" cm="1" vm="9">
        <f t="array" aca="1" ref="DN15" ca="1">OFFSET(Horarios!$P$3,DJ15-1,0,DL15,1)</f>
        <v>#VALUE!</v>
      </c>
      <c r="DO15" s="16"/>
      <c r="DP15" s="16" t="s">
        <v>668</v>
      </c>
      <c r="DQ15" s="16" t="str">
        <f t="shared" ca="1" si="47"/>
        <v>Marruecos</v>
      </c>
    </row>
    <row r="16" spans="1:121" ht="16.149999999999999"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6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7">
        <f t="array" aca="1" ref="AK16" ca="1">Ver_flag_visit</f>
        <v>#VALUE!</v>
      </c>
      <c r="AL16" s="37" t="str">
        <f ca="1">IFERROR(INDEX($BD$6:$BD$53,MATCH(AI16,$BN$6:$BN$53,0)),"")</f>
        <v>Catar</v>
      </c>
      <c r="AM16" s="38">
        <f t="shared" ca="1" si="69"/>
        <v>2</v>
      </c>
      <c r="AN16" s="39">
        <f t="shared" ca="1" si="69"/>
        <v>3</v>
      </c>
      <c r="AO16" s="39">
        <f t="shared" ca="1" si="69"/>
        <v>0</v>
      </c>
      <c r="AP16" s="39">
        <f t="shared" ca="1" si="69"/>
        <v>2</v>
      </c>
      <c r="AQ16" s="39">
        <f t="shared" ca="1" si="69"/>
        <v>1</v>
      </c>
      <c r="AR16" s="39">
        <f t="shared" ca="1" si="69"/>
        <v>3</v>
      </c>
      <c r="AS16" s="39">
        <f t="shared" ca="1" si="69"/>
        <v>5</v>
      </c>
      <c r="AT16" s="74">
        <f t="shared" ca="1" si="69"/>
        <v>-2</v>
      </c>
      <c r="AU16" s="330">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12</v>
      </c>
      <c r="BL16" s="16">
        <f t="shared" ca="1" si="42"/>
        <v>-11</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149999999999999" customHeight="1" thickBot="1">
      <c r="A17" s="16"/>
      <c r="B17" s="16"/>
      <c r="C17" s="16"/>
      <c r="D17" s="16" t="str">
        <f t="shared" si="53"/>
        <v>Empate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63"/>
      <c r="X17" s="28">
        <f ca="1">Horarios!C17</f>
        <v>46197.875</v>
      </c>
      <c r="Y17" s="29">
        <f ca="1">Horarios!C17</f>
        <v>46197.875</v>
      </c>
      <c r="Z17" s="30" t="str">
        <f>$Z$8</f>
        <v>J3</v>
      </c>
      <c r="AA17" s="31" t="str">
        <f ca="1">A14</f>
        <v>Bosnia y Herzegovina</v>
      </c>
      <c r="AB17" s="52" t="e" cm="1" vm="6">
        <f t="array" aca="1" ref="AB17" ca="1">Ver_flag_local</f>
        <v>#VALUE!</v>
      </c>
      <c r="AC17" s="53">
        <v>1</v>
      </c>
      <c r="AD17" s="54">
        <v>1</v>
      </c>
      <c r="AE17" s="596" t="e" cm="1" vm="7">
        <f t="array" aca="1" ref="AE17" ca="1">Ver_flag_visit</f>
        <v>#VALUE!</v>
      </c>
      <c r="AF17" s="33" t="str">
        <f ca="1">A15</f>
        <v>Catar</v>
      </c>
      <c r="AG17" s="323">
        <f t="shared" si="66"/>
        <v>1</v>
      </c>
      <c r="AH17" s="195">
        <v>52</v>
      </c>
      <c r="AI17" s="181" t="str">
        <f t="shared" si="70"/>
        <v>4B</v>
      </c>
      <c r="AJ17" s="75">
        <v>4</v>
      </c>
      <c r="AK17" s="603" t="e" cm="1" vm="6">
        <f t="array" aca="1" ref="AK17" ca="1">Ver_flag_visit</f>
        <v>#VALUE!</v>
      </c>
      <c r="AL17" s="76" t="str">
        <f ca="1">IFERROR(INDEX($BD$6:$BD$53,MATCH(AI17,$BN$6:$BN$53,0)),"")</f>
        <v>Bosnia y Herzegovina</v>
      </c>
      <c r="AM17" s="77">
        <f t="shared" ca="1" si="69"/>
        <v>1</v>
      </c>
      <c r="AN17" s="78">
        <f t="shared" ca="1" si="69"/>
        <v>3</v>
      </c>
      <c r="AO17" s="78">
        <f t="shared" ca="1" si="69"/>
        <v>0</v>
      </c>
      <c r="AP17" s="78">
        <f t="shared" ca="1" si="69"/>
        <v>1</v>
      </c>
      <c r="AQ17" s="78">
        <f t="shared" ca="1" si="69"/>
        <v>2</v>
      </c>
      <c r="AR17" s="78">
        <f t="shared" ca="1" si="69"/>
        <v>1</v>
      </c>
      <c r="AS17" s="78">
        <f t="shared" ca="1" si="69"/>
        <v>5</v>
      </c>
      <c r="AT17" s="79">
        <f t="shared" ca="1" si="69"/>
        <v>-4</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7</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14999999999999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4</v>
      </c>
      <c r="BK18" s="16">
        <f t="shared" ca="1" si="21"/>
        <v>5</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14999999999999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4</v>
      </c>
      <c r="BK19" s="16">
        <f t="shared" ca="1" si="21"/>
        <v>7</v>
      </c>
      <c r="BL19" s="16">
        <f t="shared" ca="1" si="42"/>
        <v>-3</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149999999999999"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1" t="s">
        <v>2</v>
      </c>
      <c r="X20" s="24">
        <f ca="1">Horarios!C20</f>
        <v>46187</v>
      </c>
      <c r="Y20" s="25">
        <f ca="1">Horarios!C20</f>
        <v>46187</v>
      </c>
      <c r="Z20" s="26" t="str">
        <f>$Z$4</f>
        <v>J1</v>
      </c>
      <c r="AA20" s="27" t="str">
        <f ca="1">A21</f>
        <v>Brasil</v>
      </c>
      <c r="AB20" s="49" t="e" cm="1" vm="10">
        <f t="array" aca="1" ref="AB20" ca="1">Ver_flag_local</f>
        <v>#VALUE!</v>
      </c>
      <c r="AC20" s="50">
        <v>2</v>
      </c>
      <c r="AD20" s="51">
        <v>2</v>
      </c>
      <c r="AE20" s="595" t="e" cm="1" vm="11">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¡EMPATE! Puedes seleccionar el orden de los empatados.</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6</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149999999999999"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e" cm="1" vm="12">
        <f t="array" aca="1" ref="AB21" ca="1">Ver_flag_local</f>
        <v>#VALUE!</v>
      </c>
      <c r="AC21" s="50">
        <v>0</v>
      </c>
      <c r="AD21" s="51">
        <v>3</v>
      </c>
      <c r="AE21" s="595" t="e" cm="1" vm="13">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2</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9</v>
      </c>
      <c r="BK21" s="16">
        <f t="shared" ca="1" si="21"/>
        <v>1</v>
      </c>
      <c r="BL21" s="16">
        <f t="shared" ca="1" si="42"/>
        <v>8</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149999999999999"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1"/>
      <c r="X22" s="24">
        <f ca="1">Horarios!C22</f>
        <v>46193</v>
      </c>
      <c r="Y22" s="25">
        <f ca="1">Horarios!C22</f>
        <v>46193</v>
      </c>
      <c r="Z22" s="26" t="str">
        <f>$Z$6</f>
        <v>J2</v>
      </c>
      <c r="AA22" s="27" t="str">
        <f ca="1">A24</f>
        <v>Escocia</v>
      </c>
      <c r="AB22" s="49" t="e" cm="1" vm="13">
        <f t="array" aca="1" ref="AB22" ca="1">Ver_flag_local</f>
        <v>#VALUE!</v>
      </c>
      <c r="AC22" s="50">
        <v>0</v>
      </c>
      <c r="AD22" s="51">
        <v>4</v>
      </c>
      <c r="AE22" s="595" t="e" cm="1" vm="11">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10</v>
      </c>
      <c r="AS22" s="36">
        <f t="shared" ca="1" si="87"/>
        <v>3</v>
      </c>
      <c r="AT22" s="41">
        <f t="shared" ca="1" si="87"/>
        <v>7</v>
      </c>
      <c r="AU22" s="330">
        <f ca="1">INDEX($DL$6:$DL$53,MATCH(AI22,$DP$6:$DP$53,0))</f>
        <v>2</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11</v>
      </c>
      <c r="BK22" s="16">
        <f t="shared" ca="1" si="21"/>
        <v>1</v>
      </c>
      <c r="BL22" s="16">
        <f t="shared" ca="1" si="42"/>
        <v>10</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149999999999999"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1"/>
      <c r="X23" s="24">
        <f ca="1">Horarios!C23</f>
        <v>46193.104166666664</v>
      </c>
      <c r="Y23" s="25">
        <f ca="1">Horarios!C23</f>
        <v>46193.104166666664</v>
      </c>
      <c r="Z23" s="26" t="str">
        <f>$Z$6</f>
        <v>J2</v>
      </c>
      <c r="AA23" s="27" t="str">
        <f ca="1">A21</f>
        <v>Brasil</v>
      </c>
      <c r="AB23" s="49" t="e" cm="1" vm="10">
        <f t="array" aca="1" ref="AB23" ca="1">Ver_flag_local</f>
        <v>#VALUE!</v>
      </c>
      <c r="AC23" s="50">
        <v>5</v>
      </c>
      <c r="AD23" s="51">
        <v>0</v>
      </c>
      <c r="AE23" s="595" t="e" cm="1" vm="12">
        <f t="array" aca="1" ref="AE23" ca="1">Ver_flag_visit</f>
        <v>#VALUE!</v>
      </c>
      <c r="AF23" s="32" t="str">
        <f ca="1">A23</f>
        <v>Haití</v>
      </c>
      <c r="AG23" s="323">
        <f t="shared" si="84"/>
        <v>1</v>
      </c>
      <c r="AH23" s="195">
        <v>29</v>
      </c>
      <c r="AI23" s="181" t="str">
        <f t="shared" ref="AI23:AI25" si="88">AJ23&amp;$B$20</f>
        <v>2C</v>
      </c>
      <c r="AJ23" s="42">
        <v>2</v>
      </c>
      <c r="AK23" s="602" t="e" cm="1" vm="11">
        <f t="array" aca="1" ref="AK23" ca="1">Ver_flag_visit</f>
        <v>#VALUE!</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10</v>
      </c>
      <c r="AS23" s="39">
        <f t="shared" ca="1" si="87"/>
        <v>3</v>
      </c>
      <c r="AT23" s="43">
        <f t="shared" ca="1" si="87"/>
        <v>7</v>
      </c>
      <c r="AU23" s="330">
        <f ca="1">INDEX($DL$6:$DL$53,MATCH(AI23,$DP$6:$DP$53,0))</f>
        <v>2</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149999999999999"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1"/>
      <c r="X24" s="24">
        <f ca="1">Horarios!C24</f>
        <v>46198</v>
      </c>
      <c r="Y24" s="25">
        <f ca="1">Horarios!C24</f>
        <v>46198</v>
      </c>
      <c r="Z24" s="26" t="str">
        <f>$Z$8</f>
        <v>J3</v>
      </c>
      <c r="AA24" s="27" t="str">
        <f ca="1">A24</f>
        <v>Escocia</v>
      </c>
      <c r="AB24" s="49" t="e" cm="1" vm="13">
        <f t="array" aca="1" ref="AB24" ca="1">Ver_flag_local</f>
        <v>#VALUE!</v>
      </c>
      <c r="AC24" s="50">
        <v>1</v>
      </c>
      <c r="AD24" s="51">
        <v>3</v>
      </c>
      <c r="AE24" s="595" t="e" cm="1" vm="10">
        <f t="array" aca="1" ref="AE24" ca="1">Ver_flag_visit</f>
        <v>#VALUE!</v>
      </c>
      <c r="AF24" s="32" t="str">
        <f ca="1">A21</f>
        <v>Brasil</v>
      </c>
      <c r="AG24" s="323">
        <f t="shared" si="84"/>
        <v>1</v>
      </c>
      <c r="AH24" s="195">
        <v>49</v>
      </c>
      <c r="AI24" s="181" t="str">
        <f t="shared" si="88"/>
        <v>3C</v>
      </c>
      <c r="AJ24" s="42">
        <v>3</v>
      </c>
      <c r="AK24" s="602"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7</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2</v>
      </c>
      <c r="BK24" s="16">
        <f t="shared" ca="1" si="21"/>
        <v>5</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149999999999999"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72"/>
      <c r="X25" s="28">
        <f ca="1">Horarios!C25</f>
        <v>46198</v>
      </c>
      <c r="Y25" s="29">
        <f ca="1">Horarios!C25</f>
        <v>46198</v>
      </c>
      <c r="Z25" s="30" t="str">
        <f>$Z$8</f>
        <v>J3</v>
      </c>
      <c r="AA25" s="31" t="str">
        <f ca="1">A22</f>
        <v>Marruecos</v>
      </c>
      <c r="AB25" s="52" t="e" cm="1" vm="11">
        <f t="array" aca="1" ref="AB25" ca="1">Ver_flag_local</f>
        <v>#VALUE!</v>
      </c>
      <c r="AC25" s="53">
        <v>4</v>
      </c>
      <c r="AD25" s="54">
        <v>1</v>
      </c>
      <c r="AE25" s="596" t="e" cm="1" vm="12">
        <f t="array" aca="1" ref="AE25" ca="1">Ver_flag_visit</f>
        <v>#VALUE!</v>
      </c>
      <c r="AF25" s="33" t="str">
        <f ca="1">A23</f>
        <v>Haití</v>
      </c>
      <c r="AG25" s="323">
        <f t="shared" si="84"/>
        <v>1</v>
      </c>
      <c r="AH25" s="195">
        <v>50</v>
      </c>
      <c r="AI25" s="181" t="str">
        <f t="shared" si="88"/>
        <v>4C</v>
      </c>
      <c r="AJ25" s="44">
        <v>4</v>
      </c>
      <c r="AK25" s="604"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12</v>
      </c>
      <c r="AT25" s="48">
        <f t="shared" ca="1" si="87"/>
        <v>-11</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6</v>
      </c>
      <c r="BK25" s="16">
        <f t="shared" ca="1" si="21"/>
        <v>5</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14999999999999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7</v>
      </c>
      <c r="BK26" s="16">
        <f t="shared" ca="1" si="21"/>
        <v>5</v>
      </c>
      <c r="BL26" s="16">
        <f t="shared" ca="1" si="42"/>
        <v>2</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14999999999999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8</v>
      </c>
      <c r="BK27" s="16">
        <f t="shared" ca="1" si="21"/>
        <v>3</v>
      </c>
      <c r="BL27" s="16">
        <f t="shared" ca="1" si="42"/>
        <v>5</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149999999999999"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3" t="s">
        <v>74</v>
      </c>
      <c r="X28" s="24">
        <f ca="1">Horarios!C28</f>
        <v>46186.125</v>
      </c>
      <c r="Y28" s="25">
        <f ca="1">Horarios!C28</f>
        <v>46186.125</v>
      </c>
      <c r="Z28" s="26" t="str">
        <f>$Z$4</f>
        <v>J1</v>
      </c>
      <c r="AA28" s="27" t="str">
        <f ca="1">A29</f>
        <v>Estados Unidos</v>
      </c>
      <c r="AB28" s="49" t="e" cm="1" vm="14">
        <f t="array" aca="1" ref="AB28" ca="1">Ver_flag_local</f>
        <v>#VALUE!</v>
      </c>
      <c r="AC28" s="50">
        <v>2</v>
      </c>
      <c r="AD28" s="51">
        <v>1</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149999999999999"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73"/>
      <c r="X29" s="24">
        <f ca="1">Horarios!C29</f>
        <v>46187.25</v>
      </c>
      <c r="Y29" s="25">
        <f ca="1">Horarios!C29</f>
        <v>46187.25</v>
      </c>
      <c r="Z29" s="26" t="str">
        <f>$Z$4</f>
        <v>J1</v>
      </c>
      <c r="AA29" s="27" t="str">
        <f ca="1">A31</f>
        <v>Australia</v>
      </c>
      <c r="AB29" s="49" t="e" cm="1" vm="16">
        <f t="array" aca="1" ref="AB29" ca="1">Ver_flag_local</f>
        <v>#VALUE!</v>
      </c>
      <c r="AC29" s="50">
        <v>0</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8</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149999999999999"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73"/>
      <c r="X30" s="24">
        <f ca="1">Horarios!C30</f>
        <v>46192.875</v>
      </c>
      <c r="Y30" s="25">
        <f ca="1">Horarios!C30</f>
        <v>46192.875</v>
      </c>
      <c r="Z30" s="26" t="str">
        <f>$Z$6</f>
        <v>J2</v>
      </c>
      <c r="AA30" s="27" t="str">
        <f ca="1">A29</f>
        <v>Estados Unidos</v>
      </c>
      <c r="AB30" s="49" t="e" cm="1" vm="14">
        <f t="array" aca="1" ref="AB30" ca="1">Ver_flag_local</f>
        <v>#VALUE!</v>
      </c>
      <c r="AC30" s="50">
        <v>2</v>
      </c>
      <c r="AD30" s="51">
        <v>1</v>
      </c>
      <c r="AE30" s="595" t="e" cm="1" vm="16">
        <f t="array" aca="1" ref="AE30" ca="1">Ver_flag_visit</f>
        <v>#VALUE!</v>
      </c>
      <c r="AF30" s="32" t="str">
        <f ca="1">A31</f>
        <v>Australia</v>
      </c>
      <c r="AG30" s="323">
        <f t="shared" si="104"/>
        <v>1</v>
      </c>
      <c r="AH30" s="195">
        <v>32</v>
      </c>
      <c r="AI30" s="181" t="str">
        <f>AJ30&amp;$B$28</f>
        <v>1D</v>
      </c>
      <c r="AJ30" s="40">
        <v>1</v>
      </c>
      <c r="AK30" s="601" t="e" cm="1" vm="17">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9</v>
      </c>
      <c r="AS30" s="36">
        <f t="shared" ca="1" si="107"/>
        <v>1</v>
      </c>
      <c r="AT30" s="41">
        <f t="shared" ca="1" si="107"/>
        <v>8</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2</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3</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(2)</v>
      </c>
      <c r="CZ30" s="16">
        <f t="shared" ca="1" si="37"/>
        <v>5</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(2)</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52"/>
        <v>1.0009999999999999</v>
      </c>
      <c r="DG30" s="16">
        <f ca="1">IF(DB30="-","-",COUNTIFS(DF$6:DF$53,"&lt;"&amp;DF30,$BC$6:$BC$53,INDEX(T_Equipos[Grupo],MATCH(BD30,T_Equipos[NombreEquipo],0))))</f>
        <v>0</v>
      </c>
      <c r="DH30" s="16">
        <f ca="1">DA30+COUNTIFS(DB$6:DB$53,DB30,DG$6:DG$53,"&lt;"&amp;DG30,$BC$6:$BC$53,INDEX(T_Equipos[Grupo],MATCH(BD30,T_Equipos[NombreEquipo],0)))</f>
        <v>1</v>
      </c>
      <c r="DI30" s="16"/>
      <c r="DJ30" s="16">
        <f t="shared" ca="1" si="38"/>
        <v>1</v>
      </c>
      <c r="DK30" s="16">
        <f t="shared" ca="1" si="39"/>
        <v>12</v>
      </c>
      <c r="DL30" s="16">
        <f t="shared" ca="1" si="40"/>
        <v>2</v>
      </c>
      <c r="DM30" s="16" t="str">
        <f t="shared" ca="1" si="46"/>
        <v>1.2</v>
      </c>
      <c r="DN30" s="16" t="e" cm="1" vm="9">
        <f t="array" aca="1" ref="DN30" ca="1">OFFSET(Horarios!$P$3,DJ30-1,0,DL30,1)</f>
        <v>#VALUE!</v>
      </c>
      <c r="DO30" s="16"/>
      <c r="DP30" s="16" t="s">
        <v>679</v>
      </c>
      <c r="DQ30" s="16" t="str">
        <f t="shared" ca="1" si="47"/>
        <v>Bélgica</v>
      </c>
    </row>
    <row r="31" spans="1:121" ht="16.149999999999999"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73"/>
      <c r="X31" s="24">
        <f ca="1">Horarios!C31</f>
        <v>46193.208333333336</v>
      </c>
      <c r="Y31" s="25">
        <f ca="1">Horarios!C31</f>
        <v>46193.208333333336</v>
      </c>
      <c r="Z31" s="26" t="str">
        <f>$Z$6</f>
        <v>J2</v>
      </c>
      <c r="AA31" s="27" t="str">
        <f ca="1">A32</f>
        <v>Turquía</v>
      </c>
      <c r="AB31" s="49" t="e" cm="1" vm="17">
        <f t="array" aca="1" ref="AB31" ca="1">Ver_flag_local</f>
        <v>#VALUE!</v>
      </c>
      <c r="AC31" s="50">
        <v>4</v>
      </c>
      <c r="AD31" s="51">
        <v>1</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4">
        <f t="array" aca="1" ref="AK31" ca="1">Ver_flag_visit</f>
        <v>#VALUE!</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4</v>
      </c>
      <c r="AS31" s="39">
        <f t="shared" ca="1" si="107"/>
        <v>5</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3</v>
      </c>
      <c r="BF31" s="16">
        <f t="shared" ca="1" si="41"/>
        <v>3</v>
      </c>
      <c r="BG31" s="16">
        <f t="shared" ca="1" si="17"/>
        <v>1</v>
      </c>
      <c r="BH31" s="16">
        <f t="shared" ca="1" si="18"/>
        <v>0</v>
      </c>
      <c r="BI31" s="16">
        <f t="shared" ca="1" si="19"/>
        <v>2</v>
      </c>
      <c r="BJ31" s="16">
        <f t="shared" ca="1" si="20"/>
        <v>5</v>
      </c>
      <c r="BK31" s="16">
        <f t="shared" ca="1" si="21"/>
        <v>6</v>
      </c>
      <c r="BL31" s="16">
        <f t="shared" ca="1" si="42"/>
        <v>-1</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3</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1</v>
      </c>
      <c r="DK31" s="16">
        <f t="shared" ca="1" si="39"/>
        <v>12</v>
      </c>
      <c r="DL31" s="16">
        <f t="shared" ca="1" si="40"/>
        <v>2</v>
      </c>
      <c r="DM31" s="16" t="str">
        <f t="shared" ca="1" si="46"/>
        <v>1.2</v>
      </c>
      <c r="DN31" s="16" t="e" cm="1" vm="9">
        <f t="array" aca="1" ref="DN31" ca="1">OFFSET(Horarios!$P$3,DJ31-1,0,DL31,1)</f>
        <v>#VALUE!</v>
      </c>
      <c r="DO31" s="16"/>
      <c r="DP31" s="16" t="s">
        <v>680</v>
      </c>
      <c r="DQ31" s="16" t="str">
        <f t="shared" ca="1" si="47"/>
        <v>Irán</v>
      </c>
    </row>
    <row r="32" spans="1:121" ht="16.149999999999999"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3"/>
      <c r="X32" s="24">
        <f ca="1">Horarios!C32</f>
        <v>46199.166666666664</v>
      </c>
      <c r="Y32" s="25">
        <f ca="1">Horarios!C32</f>
        <v>46199.166666666664</v>
      </c>
      <c r="Z32" s="26" t="str">
        <f>$Z$8</f>
        <v>J3</v>
      </c>
      <c r="AA32" s="27" t="str">
        <f ca="1">A32</f>
        <v>Turquía</v>
      </c>
      <c r="AB32" s="49" t="e" cm="1" vm="17">
        <f t="array" aca="1" ref="AB32" ca="1">Ver_flag_local</f>
        <v>#VALUE!</v>
      </c>
      <c r="AC32" s="50">
        <v>3</v>
      </c>
      <c r="AD32" s="51">
        <v>0</v>
      </c>
      <c r="AE32" s="595" t="e" cm="1" vm="14">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4</v>
      </c>
      <c r="AS32" s="39">
        <f t="shared" ca="1" si="107"/>
        <v>7</v>
      </c>
      <c r="AT32" s="43">
        <f t="shared" ca="1" si="107"/>
        <v>-3</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7</v>
      </c>
      <c r="BF32" s="16">
        <f t="shared" ca="1" si="41"/>
        <v>3</v>
      </c>
      <c r="BG32" s="16">
        <f t="shared" ca="1" si="17"/>
        <v>2</v>
      </c>
      <c r="BH32" s="16">
        <f t="shared" ca="1" si="18"/>
        <v>1</v>
      </c>
      <c r="BI32" s="16">
        <f t="shared" ca="1" si="19"/>
        <v>0</v>
      </c>
      <c r="BJ32" s="16">
        <f t="shared" ca="1" si="20"/>
        <v>5</v>
      </c>
      <c r="BK32" s="16">
        <f t="shared" ca="1" si="21"/>
        <v>2</v>
      </c>
      <c r="BL32" s="16">
        <f t="shared" ca="1" si="42"/>
        <v>3</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7</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(2)</v>
      </c>
      <c r="BU32" s="16">
        <f t="shared" ca="1" si="24"/>
        <v>0</v>
      </c>
      <c r="BV32" s="16">
        <f t="shared" ca="1" si="25"/>
        <v>1</v>
      </c>
      <c r="BW32" s="16">
        <f t="shared" ca="1" si="26"/>
        <v>0</v>
      </c>
      <c r="BX32" s="16">
        <f t="shared" ca="1" si="48"/>
        <v>1</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(2)</v>
      </c>
      <c r="CA32" s="16">
        <f t="shared" ca="1" si="27"/>
        <v>1</v>
      </c>
      <c r="CB32" s="16">
        <f t="shared" ca="1" si="28"/>
        <v>1</v>
      </c>
      <c r="CC32" s="16">
        <f t="shared" ca="1" si="49"/>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(2)</v>
      </c>
      <c r="CF32" s="16">
        <f t="shared" ca="1" si="29"/>
        <v>1</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(2)</v>
      </c>
      <c r="CI32" s="16">
        <f t="shared" ca="1" si="30"/>
        <v>0</v>
      </c>
      <c r="CJ32" s="16">
        <f t="shared" ca="1" si="31"/>
        <v>1</v>
      </c>
      <c r="CK32" s="16">
        <f t="shared" ca="1" si="32"/>
        <v>0</v>
      </c>
      <c r="CL32" s="16">
        <f t="shared" ca="1" si="50"/>
        <v>1</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(2)</v>
      </c>
      <c r="CO32" s="16">
        <f t="shared" ca="1" si="33"/>
        <v>1</v>
      </c>
      <c r="CP32" s="16">
        <f t="shared" ca="1" si="34"/>
        <v>1</v>
      </c>
      <c r="CQ32" s="16">
        <f t="shared" ca="1" si="51"/>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(2)</v>
      </c>
      <c r="CT32" s="16">
        <f t="shared" ca="1" si="35"/>
        <v>1</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(2)</v>
      </c>
      <c r="CW32" s="16">
        <f t="shared" ca="1" si="36"/>
        <v>3</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(2)</v>
      </c>
      <c r="CZ32" s="16">
        <f t="shared" ca="1" si="37"/>
        <v>5</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2</v>
      </c>
      <c r="DE32" s="16"/>
      <c r="DF32" s="16">
        <f t="shared" ca="1" si="52"/>
        <v>2.0019999999999998</v>
      </c>
      <c r="DG32" s="16">
        <f ca="1">IF(DB32="-","-",COUNTIFS(DF$6:DF$53,"&lt;"&amp;DF32,$BC$6:$BC$53,INDEX(T_Equipos[Grupo],MATCH(BD32,T_Equipos[NombreEquipo],0))))</f>
        <v>1</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149999999999999"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74"/>
      <c r="X33" s="28">
        <f ca="1">Horarios!C33</f>
        <v>46199.166666666664</v>
      </c>
      <c r="Y33" s="29">
        <f ca="1">Horarios!C33</f>
        <v>46199.166666666664</v>
      </c>
      <c r="Z33" s="30" t="str">
        <f>$Z$8</f>
        <v>J3</v>
      </c>
      <c r="AA33" s="31" t="str">
        <f ca="1">A30</f>
        <v>Paraguay</v>
      </c>
      <c r="AB33" s="52" t="e" cm="1" vm="15">
        <f t="array" aca="1" ref="AB33" ca="1">Ver_flag_local</f>
        <v>#VALUE!</v>
      </c>
      <c r="AC33" s="53">
        <v>2</v>
      </c>
      <c r="AD33" s="54">
        <v>1</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6</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2</v>
      </c>
      <c r="BK33" s="16">
        <f t="shared" ca="1" si="21"/>
        <v>7</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14999999999999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14999999999999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9</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149999999999999"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e" cm="1" vm="18">
        <f t="array" aca="1" ref="AB36" ca="1">Ver_flag_local</f>
        <v>#VALUE!</v>
      </c>
      <c r="AC36" s="50">
        <v>5</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5</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149999999999999"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7</v>
      </c>
      <c r="BK37" s="16">
        <f t="shared" ca="1" si="21"/>
        <v>5</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149999999999999"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e" cm="1" vm="18">
        <f t="array" aca="1" ref="AB38" ca="1">Ver_flag_local</f>
        <v>#VALUE!</v>
      </c>
      <c r="AC38" s="50">
        <v>3</v>
      </c>
      <c r="AD38" s="51">
        <v>0</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11</v>
      </c>
      <c r="AS38" s="36">
        <f t="shared" ca="1" si="127"/>
        <v>1</v>
      </c>
      <c r="AT38" s="41">
        <f t="shared" ca="1" si="127"/>
        <v>10</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8</v>
      </c>
      <c r="BK38" s="16">
        <f t="shared" ca="1" si="21"/>
        <v>2</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149999999999999"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e" cm="1" vm="21">
        <f t="array" aca="1" ref="AB39" ca="1">Ver_flag_local</f>
        <v>#VALUE!</v>
      </c>
      <c r="AC39" s="50">
        <v>3</v>
      </c>
      <c r="AD39" s="51">
        <v>1</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6</v>
      </c>
      <c r="AS39" s="39">
        <f t="shared" ca="1" si="127"/>
        <v>5</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149999999999999"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e" cm="1" vm="19">
        <f t="array" aca="1" ref="AB40" ca="1">Ver_flag_local</f>
        <v>#VALUE!</v>
      </c>
      <c r="AC40" s="50">
        <v>0</v>
      </c>
      <c r="AD40" s="51">
        <v>1</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2</v>
      </c>
      <c r="AS40" s="39">
        <f t="shared" ca="1" si="127"/>
        <v>5</v>
      </c>
      <c r="AT40" s="43">
        <f t="shared" ca="1" si="127"/>
        <v>-3</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149999999999999"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e" cm="1" vm="21">
        <f t="array" aca="1" ref="AB41" ca="1">Ver_flag_local</f>
        <v>#VALUE!</v>
      </c>
      <c r="AC41" s="53">
        <v>1</v>
      </c>
      <c r="AD41" s="54">
        <v>3</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4</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14999999999999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0</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14999999999999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0</v>
      </c>
      <c r="BF43" s="16">
        <f t="shared" ca="1" si="41"/>
        <v>3</v>
      </c>
      <c r="BG43" s="16">
        <f t="shared" ca="1" si="17"/>
        <v>0</v>
      </c>
      <c r="BH43" s="16">
        <f t="shared" ca="1" si="18"/>
        <v>0</v>
      </c>
      <c r="BI43" s="16">
        <f t="shared" ca="1" si="19"/>
        <v>3</v>
      </c>
      <c r="BJ43" s="16">
        <f t="shared" ca="1" si="20"/>
        <v>0</v>
      </c>
      <c r="BK43" s="16">
        <f t="shared" ca="1" si="21"/>
        <v>6</v>
      </c>
      <c r="BL43" s="16">
        <f t="shared" ca="1" si="42"/>
        <v>-6</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0</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149999999999999"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3</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6</v>
      </c>
      <c r="BK44" s="16">
        <f t="shared" ca="1" si="21"/>
        <v>1</v>
      </c>
      <c r="BL44" s="16">
        <f t="shared" ca="1" si="42"/>
        <v>5</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6.149999999999999"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3</v>
      </c>
      <c r="BF45" s="16">
        <f t="shared" ca="1" si="41"/>
        <v>3</v>
      </c>
      <c r="BG45" s="16">
        <f t="shared" ca="1" si="17"/>
        <v>1</v>
      </c>
      <c r="BH45" s="16">
        <f t="shared" ca="1" si="18"/>
        <v>0</v>
      </c>
      <c r="BI45" s="16">
        <f t="shared" ca="1" si="19"/>
        <v>2</v>
      </c>
      <c r="BJ45" s="16">
        <f t="shared" ca="1" si="20"/>
        <v>1</v>
      </c>
      <c r="BK45" s="16">
        <f t="shared" ca="1" si="21"/>
        <v>7</v>
      </c>
      <c r="BL45" s="16">
        <f t="shared" ca="1" si="42"/>
        <v>-6</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3</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Argelia</v>
      </c>
    </row>
    <row r="46" spans="1:121" ht="16.149999999999999"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1</v>
      </c>
      <c r="AE46" s="595" t="e" cm="1" vm="24">
        <f t="array" aca="1" ref="AE46" ca="1">Ver_flag_visit</f>
        <v>#VALUE!</v>
      </c>
      <c r="AF46" s="32" t="str">
        <f ca="1">A47</f>
        <v>Suecia</v>
      </c>
      <c r="AG46" s="323">
        <f t="shared" si="144"/>
        <v>1</v>
      </c>
      <c r="AH46" s="195">
        <v>35</v>
      </c>
      <c r="AI46" s="181" t="str">
        <f>AJ46&amp;$B$44</f>
        <v>1F</v>
      </c>
      <c r="AJ46" s="40">
        <v>1</v>
      </c>
      <c r="AK46" s="601" t="e" cm="1" vm="23">
        <f t="array" aca="1" ref="AK46" ca="1">Ver_flag_visit</f>
        <v>#VALUE!</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8</v>
      </c>
      <c r="AS46" s="36">
        <f t="shared" ca="1" si="147"/>
        <v>3</v>
      </c>
      <c r="AT46" s="41">
        <f t="shared" ca="1" si="147"/>
        <v>5</v>
      </c>
      <c r="AU46" s="330">
        <f ca="1">INDEX($DL$6:$DL$53,MATCH(AI46,$DP$6:$DP$53,0))</f>
        <v>1</v>
      </c>
      <c r="AV46" s="182" t="str">
        <f ca="1">INDEX($BD$6:$BD$53,MATCH(AI46,$BM$6:$BM$53,0))</f>
        <v>Japón</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2</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2</v>
      </c>
      <c r="CB46" s="16">
        <f t="shared" ca="1" si="28"/>
        <v>2</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2</v>
      </c>
      <c r="CP46" s="16">
        <f t="shared" ca="1" si="34"/>
        <v>2</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149999999999999"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e" cm="1" vm="25">
        <f t="array" aca="1" ref="AB47" ca="1">Ver_flag_local</f>
        <v>#VALUE!</v>
      </c>
      <c r="AC47" s="50">
        <v>1</v>
      </c>
      <c r="AD47" s="51">
        <v>3</v>
      </c>
      <c r="AE47" s="595" t="e" cm="1" vm="23">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7</v>
      </c>
      <c r="AS47" s="39">
        <f t="shared" ca="1" si="147"/>
        <v>5</v>
      </c>
      <c r="AT47" s="43">
        <f t="shared" ca="1" si="147"/>
        <v>2</v>
      </c>
      <c r="AU47" s="330">
        <f ca="1">INDEX($DL$6:$DL$53,MATCH(AI47,$DP$6:$DP$53,0))</f>
        <v>1</v>
      </c>
      <c r="AV47" s="182" t="str">
        <f ca="1">INDEX($BD$6:$BD$53,MATCH(AI47,$BM$6:$BM$53,0))</f>
        <v>Países Bajos</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3</v>
      </c>
      <c r="BK47" s="16">
        <f t="shared" ca="1" si="21"/>
        <v>5</v>
      </c>
      <c r="BL47" s="16">
        <f t="shared" ca="1" si="42"/>
        <v>-2</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149999999999999"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e" cm="1" vm="23">
        <f t="array" aca="1" ref="AB48" ca="1">Ver_flag_local</f>
        <v>#VALUE!</v>
      </c>
      <c r="AC48" s="50">
        <v>2</v>
      </c>
      <c r="AD48" s="51">
        <v>0</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3</v>
      </c>
      <c r="AS48" s="39">
        <f t="shared" ca="1" si="147"/>
        <v>4</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7</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149999999999999"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e" cm="1" vm="25">
        <f t="array" aca="1" ref="AB49" ca="1">Ver_flag_local</f>
        <v>#VALUE!</v>
      </c>
      <c r="AC49" s="53">
        <v>1</v>
      </c>
      <c r="AD49" s="54">
        <v>3</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8</v>
      </c>
      <c r="AT49" s="48">
        <f t="shared" ca="1" si="147"/>
        <v>-6</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7</v>
      </c>
      <c r="BK49" s="16">
        <f t="shared" ca="1" si="21"/>
        <v>4</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2</v>
      </c>
      <c r="CB49" s="16">
        <f t="shared" ca="1" si="28"/>
        <v>2</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2</v>
      </c>
      <c r="CP49" s="16">
        <f t="shared" ca="1" si="34"/>
        <v>2</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14999999999999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14999999999999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3</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149999999999999"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P.1 (2)</v>
      </c>
      <c r="F52" s="16" t="str">
        <f t="shared" ref="F52:F57" ca="1" si="151">IF(D52="Pendiente","-",INDEX($BT$6:$BT$53,MATCH($AF52,$BD$6:$BD$53,0)))</f>
        <v>-</v>
      </c>
      <c r="G52" s="16"/>
      <c r="H52" s="16" t="str">
        <f t="shared" ref="H52:H57" ca="1" si="152">IF(D52="Pendiente","-",INDEX($BZ$6:$BZ$53,MATCH($AA52,$BD$6:$BD$53,0)))</f>
        <v>P.1 (2)</v>
      </c>
      <c r="I52" s="16" t="str">
        <f t="shared" ref="I52:I57" ca="1" si="153">IF(D52="Pendiente","-",INDEX($BZ$6:$BZ$53,MATCH($AF52,$BD$6:$BD$53,0)))</f>
        <v>-</v>
      </c>
      <c r="J52" s="16"/>
      <c r="K52" s="16" t="str">
        <f t="shared" ref="K52:K57" ca="1" si="154">IF(D52="Pendiente","-",INDEX($CE$6:$CE$53,MATCH($AA52,$BD$6:$BD$53,0)))</f>
        <v>P.1 (2)</v>
      </c>
      <c r="L52" s="16" t="str">
        <f t="shared" ref="L52:L57" ca="1" si="155">IF(D52="Pendiente","-",INDEX($CE$6:$CE$53,MATCH($AF52,$BD$6:$BD$53,0)))</f>
        <v>-</v>
      </c>
      <c r="M52" s="16"/>
      <c r="N52" s="16" t="str">
        <f t="shared" ref="N52:N57" ca="1" si="156">IF(D52="Pendiente","-",INDEX($CH$6:$CH$53,MATCH($AA52,$BD$6:$BD$53,0)))</f>
        <v>P.1 (2)</v>
      </c>
      <c r="O52" s="16" t="str">
        <f t="shared" ref="O52:O57" ca="1" si="157">IF(D52="Pendiente","-",INDEX($CH$6:$CH$53,MATCH($AF52,$BD$6:$BD$53,0)))</f>
        <v>-</v>
      </c>
      <c r="P52" s="16"/>
      <c r="Q52" s="16" t="str">
        <f t="shared" ref="Q52:Q57" ca="1" si="158">IF(D52="Pendiente","-",INDEX($CN$6:$CN$53,MATCH($AA52,$BD$6:$BD$53,0)))</f>
        <v>P.1 (2)</v>
      </c>
      <c r="R52" s="16" t="str">
        <f t="shared" ref="R52:R57" ca="1" si="159">IF(D52="Pendiente","-",INDEX($CN$6:$CN$53,MATCH($AF52,$BD$6:$BD$53,0)))</f>
        <v>-</v>
      </c>
      <c r="S52" s="16"/>
      <c r="T52" s="16" t="str">
        <f t="shared" ref="T52:T57" ca="1" si="160">IF(D52="Pendiente","-",INDEX($CS$6:$CS$53,MATCH($AA52,$BD$6:$BD$53,0)))</f>
        <v>P.1 (2)</v>
      </c>
      <c r="U52" s="16" t="str">
        <f t="shared" ref="U52:U57" ca="1" si="161">IF(D52="Pendiente","-",INDEX($CS$6:$CS$53,MATCH($AF52,$BD$6:$BD$53,0)))</f>
        <v>-</v>
      </c>
      <c r="V52" s="17"/>
      <c r="W52" s="658"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¡EMPATE! Puedes seleccionar el orden de los empatados.</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149999999999999" customHeight="1">
      <c r="A53" s="16" t="str">
        <f ca="1">+Equipos!B26</f>
        <v>Bélgica</v>
      </c>
      <c r="B53" s="16"/>
      <c r="C53" s="16"/>
      <c r="D53" s="16" t="str">
        <f t="shared" si="149"/>
        <v>Local</v>
      </c>
      <c r="E53" s="16" t="str">
        <f t="shared" ca="1" si="150"/>
        <v>P.1 (2)</v>
      </c>
      <c r="F53" s="16" t="str">
        <f t="shared" ca="1" si="151"/>
        <v>-</v>
      </c>
      <c r="G53" s="16"/>
      <c r="H53" s="16" t="str">
        <f t="shared" ca="1" si="152"/>
        <v>P.1 (2)</v>
      </c>
      <c r="I53" s="16" t="str">
        <f t="shared" ca="1" si="153"/>
        <v>-</v>
      </c>
      <c r="J53" s="16"/>
      <c r="K53" s="16" t="str">
        <f t="shared" ca="1" si="154"/>
        <v>P.1 (2)</v>
      </c>
      <c r="L53" s="16" t="str">
        <f t="shared" ca="1" si="155"/>
        <v>-</v>
      </c>
      <c r="M53" s="16"/>
      <c r="N53" s="16" t="str">
        <f t="shared" ca="1" si="156"/>
        <v>P.1 (2)</v>
      </c>
      <c r="O53" s="16" t="str">
        <f t="shared" ca="1" si="157"/>
        <v>-</v>
      </c>
      <c r="P53" s="16"/>
      <c r="Q53" s="16" t="str">
        <f t="shared" ca="1" si="158"/>
        <v>P.1 (2)</v>
      </c>
      <c r="R53" s="16" t="str">
        <f t="shared" ca="1" si="159"/>
        <v>-</v>
      </c>
      <c r="S53" s="16"/>
      <c r="T53" s="16" t="str">
        <f t="shared" ca="1" si="160"/>
        <v>P.1 (2)</v>
      </c>
      <c r="U53" s="16" t="str">
        <f t="shared" ca="1" si="161"/>
        <v>-</v>
      </c>
      <c r="V53" s="17"/>
      <c r="W53" s="658"/>
      <c r="X53" s="24">
        <f ca="1">Horarios!C53</f>
        <v>46189.125</v>
      </c>
      <c r="Y53" s="25">
        <f ca="1">Horarios!C53</f>
        <v>46189.125</v>
      </c>
      <c r="Z53" s="26" t="str">
        <f>$Z$4</f>
        <v>J1</v>
      </c>
      <c r="AA53" s="27" t="str">
        <f ca="1">A55</f>
        <v>Irán</v>
      </c>
      <c r="AB53" s="49" t="e" cm="1" vm="28">
        <f t="array" aca="1" ref="AB53" ca="1">Ver_flag_local</f>
        <v>#VALUE!</v>
      </c>
      <c r="AC53" s="50">
        <v>2</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2</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149999999999999" customHeight="1">
      <c r="A54" s="16" t="str">
        <f ca="1">+Equipos!B27</f>
        <v>Egipto</v>
      </c>
      <c r="B54" s="16"/>
      <c r="C54" s="16"/>
      <c r="D54" s="16" t="str">
        <f t="shared" si="149"/>
        <v>Empate</v>
      </c>
      <c r="E54" s="16" t="str">
        <f t="shared" ca="1" si="150"/>
        <v>P.1 (2)</v>
      </c>
      <c r="F54" s="16" t="str">
        <f t="shared" ca="1" si="151"/>
        <v>P.1 (2)</v>
      </c>
      <c r="G54" s="16"/>
      <c r="H54" s="16" t="str">
        <f t="shared" ca="1" si="152"/>
        <v>P.1 (2)</v>
      </c>
      <c r="I54" s="16" t="str">
        <f t="shared" ca="1" si="153"/>
        <v>P.1 (2)</v>
      </c>
      <c r="J54" s="16"/>
      <c r="K54" s="16" t="str">
        <f t="shared" ca="1" si="154"/>
        <v>P.1 (2)</v>
      </c>
      <c r="L54" s="16" t="str">
        <f t="shared" ca="1" si="155"/>
        <v>P.1 (2)</v>
      </c>
      <c r="M54" s="16"/>
      <c r="N54" s="16" t="str">
        <f t="shared" ca="1" si="156"/>
        <v>P.1 (2)</v>
      </c>
      <c r="O54" s="16" t="str">
        <f t="shared" ca="1" si="157"/>
        <v>P.1 (2)</v>
      </c>
      <c r="P54" s="16"/>
      <c r="Q54" s="16" t="str">
        <f t="shared" ca="1" si="158"/>
        <v>P.1 (2)</v>
      </c>
      <c r="R54" s="16" t="str">
        <f t="shared" ca="1" si="159"/>
        <v>P.1 (2)</v>
      </c>
      <c r="S54" s="16"/>
      <c r="T54" s="16" t="str">
        <f t="shared" ca="1" si="160"/>
        <v>P.1 (2)</v>
      </c>
      <c r="U54" s="16" t="str">
        <f t="shared" ca="1" si="161"/>
        <v>P.1 (2)</v>
      </c>
      <c r="V54" s="17"/>
      <c r="W54" s="658"/>
      <c r="X54" s="24">
        <f ca="1">Horarios!C54</f>
        <v>46194.875</v>
      </c>
      <c r="Y54" s="25">
        <f ca="1">Horarios!C54</f>
        <v>46194.875</v>
      </c>
      <c r="Z54" s="26" t="str">
        <f>$Z$6</f>
        <v>J2</v>
      </c>
      <c r="AA54" s="27" t="str">
        <f ca="1">A53</f>
        <v>Bélgica</v>
      </c>
      <c r="AB54" s="49" t="e" cm="1" vm="26">
        <f t="array" aca="1" ref="AB54" ca="1">Ver_flag_local</f>
        <v>#VALUE!</v>
      </c>
      <c r="AC54" s="50">
        <v>1</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2</v>
      </c>
      <c r="AT54" s="41">
        <f t="shared" ca="1" si="165"/>
        <v>3</v>
      </c>
      <c r="AU54" s="330">
        <f ca="1">INDEX($DL$6:$DL$53,MATCH(AI54,$DP$6:$DP$53,0))</f>
        <v>2</v>
      </c>
      <c r="AV54" s="182" t="str">
        <f ca="1">INDEX($BD$6:$BD$53,MATCH(AI54,$BM$6:$BM$53,0))</f>
        <v>Bélgica</v>
      </c>
      <c r="AW54" s="210">
        <v>1</v>
      </c>
      <c r="AX54" s="171"/>
      <c r="AY54" s="201" t="str">
        <f ca="1">+A53</f>
        <v>Bélgica</v>
      </c>
      <c r="AZ54" s="202"/>
      <c r="BA54" s="176"/>
    </row>
    <row r="55" spans="1:121" ht="16.149999999999999"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8"/>
      <c r="X55" s="24">
        <f ca="1">Horarios!C55</f>
        <v>46195.125</v>
      </c>
      <c r="Y55" s="25">
        <f ca="1">Horarios!C55</f>
        <v>46195.125</v>
      </c>
      <c r="Z55" s="26" t="str">
        <f>$Z$6</f>
        <v>J2</v>
      </c>
      <c r="AA55" s="27" t="str">
        <f ca="1">A56</f>
        <v>Nueva Zelanda</v>
      </c>
      <c r="AB55" s="49" t="e" cm="1" vm="29">
        <f t="array" aca="1" ref="AB55" ca="1">Ver_flag_local</f>
        <v>#VALUE!</v>
      </c>
      <c r="AC55" s="50">
        <v>2</v>
      </c>
      <c r="AD55" s="51">
        <v>3</v>
      </c>
      <c r="AE55" s="595" t="e" cm="1" vm="27">
        <f t="array" aca="1" ref="AE55" ca="1">Ver_flag_visit</f>
        <v>#VALUE!</v>
      </c>
      <c r="AF55" s="32" t="str">
        <f ca="1">A54</f>
        <v>Egipto</v>
      </c>
      <c r="AG55" s="323">
        <f t="shared" si="162"/>
        <v>1</v>
      </c>
      <c r="AH55" s="195">
        <v>40</v>
      </c>
      <c r="AI55" s="181" t="str">
        <f t="shared" ref="AI55:AI57" si="166">AJ55&amp;$B$52</f>
        <v>2G</v>
      </c>
      <c r="AJ55" s="42">
        <v>2</v>
      </c>
      <c r="AK55" s="602" t="e" cm="1" vm="28">
        <f t="array" aca="1" ref="AK55" ca="1">Ver_flag_visit</f>
        <v>#VALUE!</v>
      </c>
      <c r="AL55" s="37" t="str">
        <f ca="1">IFERROR(INDEX($BD$6:$BD$53,MATCH(AI55,$BN$6:$BN$53,0)),"")</f>
        <v>Irán</v>
      </c>
      <c r="AM55" s="38">
        <f t="shared" ca="1" si="165"/>
        <v>7</v>
      </c>
      <c r="AN55" s="39">
        <f t="shared" ca="1" si="165"/>
        <v>3</v>
      </c>
      <c r="AO55" s="39">
        <f t="shared" ca="1" si="165"/>
        <v>2</v>
      </c>
      <c r="AP55" s="39">
        <f t="shared" ca="1" si="165"/>
        <v>1</v>
      </c>
      <c r="AQ55" s="39">
        <f t="shared" ca="1" si="165"/>
        <v>0</v>
      </c>
      <c r="AR55" s="39">
        <f t="shared" ca="1" si="165"/>
        <v>5</v>
      </c>
      <c r="AS55" s="39">
        <f t="shared" ca="1" si="165"/>
        <v>2</v>
      </c>
      <c r="AT55" s="43">
        <f t="shared" ca="1" si="165"/>
        <v>3</v>
      </c>
      <c r="AU55" s="330">
        <f ca="1">INDEX($DL$6:$DL$53,MATCH(AI55,$DP$6:$DP$53,0))</f>
        <v>2</v>
      </c>
      <c r="AV55" s="182" t="str">
        <f ca="1">INDEX($BD$6:$BD$53,MATCH(AI55,$BM$6:$BM$53,0))</f>
        <v>Irán</v>
      </c>
      <c r="AW55" s="210">
        <v>2</v>
      </c>
      <c r="AX55" s="171"/>
      <c r="AY55" s="203" t="str">
        <f ca="1">+A54</f>
        <v>Egipto</v>
      </c>
      <c r="AZ55" s="204"/>
      <c r="BA55" s="176"/>
    </row>
    <row r="56" spans="1:121" ht="16.149999999999999" customHeight="1">
      <c r="A56" s="16" t="str">
        <f ca="1">+Equipos!B29</f>
        <v>Nueva Zelanda</v>
      </c>
      <c r="B56" s="16"/>
      <c r="C56" s="16"/>
      <c r="D56" s="16" t="str">
        <f t="shared" si="149"/>
        <v>Visitante</v>
      </c>
      <c r="E56" s="16" t="str">
        <f t="shared" ca="1" si="150"/>
        <v>-</v>
      </c>
      <c r="F56" s="16" t="str">
        <f t="shared" ca="1" si="151"/>
        <v>P.1 (2)</v>
      </c>
      <c r="G56" s="16"/>
      <c r="H56" s="16" t="str">
        <f t="shared" ca="1" si="152"/>
        <v>-</v>
      </c>
      <c r="I56" s="16" t="str">
        <f t="shared" ca="1" si="153"/>
        <v>P.1 (2)</v>
      </c>
      <c r="J56" s="16"/>
      <c r="K56" s="16" t="str">
        <f t="shared" ca="1" si="154"/>
        <v>-</v>
      </c>
      <c r="L56" s="16" t="str">
        <f t="shared" ca="1" si="155"/>
        <v>P.1 (2)</v>
      </c>
      <c r="M56" s="16"/>
      <c r="N56" s="16" t="str">
        <f t="shared" ca="1" si="156"/>
        <v>-</v>
      </c>
      <c r="O56" s="16" t="str">
        <f t="shared" ca="1" si="157"/>
        <v>P.1 (2)</v>
      </c>
      <c r="P56" s="16"/>
      <c r="Q56" s="16" t="str">
        <f t="shared" ca="1" si="158"/>
        <v>-</v>
      </c>
      <c r="R56" s="16" t="str">
        <f t="shared" ca="1" si="159"/>
        <v>P.1 (2)</v>
      </c>
      <c r="S56" s="16"/>
      <c r="T56" s="16" t="str">
        <f t="shared" ca="1" si="160"/>
        <v>-</v>
      </c>
      <c r="U56" s="16" t="str">
        <f t="shared" ca="1" si="161"/>
        <v>P.1 (2)</v>
      </c>
      <c r="V56" s="17"/>
      <c r="W56" s="658"/>
      <c r="X56" s="24">
        <f ca="1">Horarios!C56</f>
        <v>46200.208333333336</v>
      </c>
      <c r="Y56" s="25">
        <f ca="1">Horarios!C56</f>
        <v>46200.208333333336</v>
      </c>
      <c r="Z56" s="26" t="str">
        <f>$Z$8</f>
        <v>J3</v>
      </c>
      <c r="AA56" s="27" t="str">
        <f ca="1">A54</f>
        <v>Egipto</v>
      </c>
      <c r="AB56" s="49" t="e" cm="1" vm="27">
        <f t="array" aca="1" ref="AB56" ca="1">Ver_flag_local</f>
        <v>#VALUE!</v>
      </c>
      <c r="AC56" s="50">
        <v>1</v>
      </c>
      <c r="AD56" s="51">
        <v>2</v>
      </c>
      <c r="AE56" s="595" t="e" cm="1" vm="28">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Egipto</v>
      </c>
      <c r="AM56" s="38">
        <f t="shared" ca="1" si="165"/>
        <v>3</v>
      </c>
      <c r="AN56" s="39">
        <f t="shared" ca="1" si="165"/>
        <v>3</v>
      </c>
      <c r="AO56" s="39">
        <f t="shared" ca="1" si="165"/>
        <v>1</v>
      </c>
      <c r="AP56" s="39">
        <f t="shared" ca="1" si="165"/>
        <v>0</v>
      </c>
      <c r="AQ56" s="39">
        <f t="shared" ca="1" si="165"/>
        <v>2</v>
      </c>
      <c r="AR56" s="39">
        <f t="shared" ca="1" si="165"/>
        <v>5</v>
      </c>
      <c r="AS56" s="39">
        <f t="shared" ca="1" si="165"/>
        <v>6</v>
      </c>
      <c r="AT56" s="43">
        <f t="shared" ca="1" si="165"/>
        <v>-1</v>
      </c>
      <c r="AU56" s="330">
        <f ca="1">INDEX($DL$6:$DL$53,MATCH(AI56,$DP$6:$DP$53,0))</f>
        <v>1</v>
      </c>
      <c r="AV56" s="182" t="str">
        <f ca="1">INDEX($BD$6:$BD$53,MATCH(AI56,$BM$6:$BM$53,0))</f>
        <v>Egipto</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149999999999999" customHeight="1" thickBot="1">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2</v>
      </c>
      <c r="AS57" s="47">
        <f t="shared" ca="1" si="165"/>
        <v>7</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14999999999999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-2</v>
      </c>
      <c r="BM58" s="16">
        <f ca="1">CB58</f>
        <v>12</v>
      </c>
      <c r="BN58" s="16">
        <f ca="1">CF58</f>
        <v>11</v>
      </c>
      <c r="BO58" s="16" t="str">
        <f t="shared" ref="BO58:BO69" si="174">"4"&amp;BC58</f>
        <v>4A</v>
      </c>
      <c r="BP58" s="16"/>
      <c r="BQ58" s="16"/>
      <c r="BR58" s="16">
        <f t="shared" ref="BR58:BR69" ca="1" si="175">+BE58</f>
        <v>2</v>
      </c>
      <c r="BS58" s="16">
        <f ca="1">COUNTIFS(BR$58:BR$69,"&gt;"&amp;BR58)+1</f>
        <v>11</v>
      </c>
      <c r="BT58" s="16" t="str">
        <f ca="1">IF(COUNTIF(BS$58:BS$69,BS58)=1,"-","Pos. "&amp;BS58&amp;" ("&amp;COUNTIF(BS$58:BS$69,BS58)&amp;")")</f>
        <v>Pos. 11 (2)</v>
      </c>
      <c r="BU58" s="16">
        <f t="shared" ref="BU58:BU69" ca="1" si="176">IF(BT58="-","-",BL58)</f>
        <v>-2</v>
      </c>
      <c r="BV58" s="16">
        <f t="shared" ref="BV58:BV69" ca="1" si="177">BS58+COUNTIFS(BT$58:BT$69,BT58,BU$58:BU$69,"&gt;"&amp;BU58)</f>
        <v>11</v>
      </c>
      <c r="BW58" s="16" t="str">
        <f t="shared" ref="BW58:BW69" ca="1" si="178">IF(COUNTIF(BV$58:BV$69,BV58)=1,"-","Pos. "&amp;BV58&amp;" ("&amp;COUNTIF(BV$58:BV$69,BV58)&amp;")")</f>
        <v>Pos. 11 (2)</v>
      </c>
      <c r="BX58" s="16">
        <f t="shared" ref="BX58:BX69" ca="1" si="179">IF(BW58="-","-",BJ58)</f>
        <v>3</v>
      </c>
      <c r="BY58" s="16">
        <f t="shared" ref="BY58:BY69" ca="1" si="180">BV58+COUNTIFS(BW$58:BW$69,BW58,BX$58:BX$69,"&gt;"&amp;BX58)</f>
        <v>11</v>
      </c>
      <c r="BZ58" s="16" t="str">
        <f t="shared" ref="BZ58:BZ69" ca="1" si="181">IF(COUNTIF(BY$58:BY$69,BY58)=1,"-","Pos. "&amp;BY58&amp;" ("&amp;COUNTIF(BY$58:BY$69,BY58)&amp;")")</f>
        <v>Pos. 11 (2)</v>
      </c>
      <c r="CA58" s="16">
        <f t="shared" ref="CA58:CA69" ca="1" si="182">IF(BZ58="-","-",COUNTIF($BD$58:$BD$69,"&gt;"&amp;BD58))</f>
        <v>2</v>
      </c>
      <c r="CB58" s="16">
        <f ca="1">BY58+COUNTIFS(BZ$58:BZ$69,BZ58,CA$58:CA$69,"&gt;"&amp;CA58)</f>
        <v>12</v>
      </c>
      <c r="CC58" s="16"/>
      <c r="CD58" s="16">
        <f t="shared" ref="CD58:CD69" ca="1" si="183">IF(OR(INDEX($AW$102:$AW$113,MATCH($BD58,$AV$102:$AV$113,0))="",BZ58="-"),CB58,INDEX($AW$102:$AW$113,MATCH($BD58,$AV$102:$AV$113,0))+CB58/1000)</f>
        <v>11.012</v>
      </c>
      <c r="CE58" s="16">
        <f ca="1">IF(BZ58="-","-",COUNTIF(CD$58:CD$69,"&lt;"&amp;CD58))</f>
        <v>10</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Senegal</v>
      </c>
    </row>
    <row r="59" spans="1:121" ht="16.14999999999999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Catar</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3</v>
      </c>
      <c r="BK59" s="16">
        <f t="shared" ca="1" si="173"/>
        <v>5</v>
      </c>
      <c r="BL59" s="16">
        <f t="shared" ref="BL59:BL69" ca="1" si="190">+BJ59-BK59</f>
        <v>-2</v>
      </c>
      <c r="BM59" s="16">
        <f t="shared" ref="BM59:BM69" ca="1" si="191">CB59</f>
        <v>11</v>
      </c>
      <c r="BN59" s="16">
        <f t="shared" ref="BN59:BN69" ca="1" si="192">CF59</f>
        <v>12</v>
      </c>
      <c r="BO59" s="16" t="str">
        <f t="shared" si="174"/>
        <v>4B</v>
      </c>
      <c r="BP59" s="16"/>
      <c r="BQ59" s="16"/>
      <c r="BR59" s="16">
        <f t="shared" ca="1" si="175"/>
        <v>2</v>
      </c>
      <c r="BS59" s="16">
        <f t="shared" ref="BS59:BS69" ca="1" si="193">COUNTIFS(BR$58:BR$69,"&gt;"&amp;BR59)+1</f>
        <v>11</v>
      </c>
      <c r="BT59" s="16" t="str">
        <f t="shared" ref="BT59:BT69" ca="1" si="194">IF(COUNTIF(BS$58:BS$69,BS59)=1,"-","Pos. "&amp;BS59&amp;" ("&amp;COUNTIF(BS$58:BS$69,BS59)&amp;")")</f>
        <v>Pos. 11 (2)</v>
      </c>
      <c r="BU59" s="16">
        <f t="shared" ca="1" si="176"/>
        <v>-2</v>
      </c>
      <c r="BV59" s="16">
        <f t="shared" ca="1" si="177"/>
        <v>11</v>
      </c>
      <c r="BW59" s="16" t="str">
        <f t="shared" ca="1" si="178"/>
        <v>Pos. 11 (2)</v>
      </c>
      <c r="BX59" s="16">
        <f t="shared" ca="1" si="179"/>
        <v>3</v>
      </c>
      <c r="BY59" s="16">
        <f t="shared" ca="1" si="180"/>
        <v>11</v>
      </c>
      <c r="BZ59" s="16" t="str">
        <f t="shared" ca="1" si="181"/>
        <v>Pos. 11 (2)</v>
      </c>
      <c r="CA59" s="16">
        <f t="shared" ca="1" si="182"/>
        <v>10</v>
      </c>
      <c r="CB59" s="16">
        <f t="shared" ref="CB59:CB68" ca="1" si="195">BY59+COUNTIFS(BZ$58:BZ$69,BZ59,CA$58:CA$69,"&gt;"&amp;CA59)</f>
        <v>11</v>
      </c>
      <c r="CC59" s="16"/>
      <c r="CD59" s="16">
        <f t="shared" ca="1" si="183"/>
        <v>12.010999999999999</v>
      </c>
      <c r="CE59" s="16">
        <f t="shared" ref="CE59:CE69" ca="1" si="196">IF(BZ59="-","-",COUNTIF(CD$58:CD$69,"&lt;"&amp;CD59))</f>
        <v>11</v>
      </c>
      <c r="CF59" s="16">
        <f t="shared" ref="CF59:CF69" ca="1" si="197">BY59+COUNTIFS(BZ$58:BZ$69,BZ59,CE$58:CE$69,"&lt;"&amp;CE59)</f>
        <v>12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Egipto</v>
      </c>
    </row>
    <row r="60" spans="1:121" ht="16.149999999999999"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7</v>
      </c>
      <c r="BL60" s="16">
        <f t="shared" ca="1" si="190"/>
        <v>-3</v>
      </c>
      <c r="BM60" s="16">
        <f t="shared" ca="1" si="191"/>
        <v>7</v>
      </c>
      <c r="BN60" s="16">
        <f t="shared" ca="1" si="192"/>
        <v>8</v>
      </c>
      <c r="BO60" s="16" t="str">
        <f t="shared" si="174"/>
        <v>4C</v>
      </c>
      <c r="BP60" s="16"/>
      <c r="BQ60" s="16"/>
      <c r="BR60" s="16">
        <f t="shared" ca="1" si="175"/>
        <v>3</v>
      </c>
      <c r="BS60" s="16">
        <f t="shared" ca="1" si="193"/>
        <v>1</v>
      </c>
      <c r="BT60" s="16" t="str">
        <f t="shared" ca="1" si="194"/>
        <v>Pos. 1 (10)</v>
      </c>
      <c r="BU60" s="16">
        <f t="shared" ca="1" si="176"/>
        <v>-3</v>
      </c>
      <c r="BV60" s="16">
        <f t="shared" ca="1" si="177"/>
        <v>7</v>
      </c>
      <c r="BW60" s="16" t="str">
        <f t="shared" ca="1" si="178"/>
        <v>Pos. 7 (3)</v>
      </c>
      <c r="BX60" s="16">
        <f t="shared" ca="1" si="179"/>
        <v>4</v>
      </c>
      <c r="BY60" s="16">
        <f t="shared" ca="1" si="180"/>
        <v>7</v>
      </c>
      <c r="BZ60" s="16" t="str">
        <f t="shared" ca="1" si="181"/>
        <v>Pos. 7 (2)</v>
      </c>
      <c r="CA60" s="16">
        <f t="shared" ca="1" si="182"/>
        <v>7</v>
      </c>
      <c r="CB60" s="16">
        <f t="shared" ca="1" si="195"/>
        <v>7</v>
      </c>
      <c r="CC60" s="16"/>
      <c r="CD60" s="16">
        <f t="shared" ca="1" si="183"/>
        <v>8.0069999999999997</v>
      </c>
      <c r="CE60" s="16">
        <f t="shared" ca="1" si="196"/>
        <v>7</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Suecia</v>
      </c>
    </row>
    <row r="61" spans="1:121" ht="16.149999999999999"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0"/>
      <c r="X61" s="24">
        <f ca="1">Horarios!C61</f>
        <v>46189</v>
      </c>
      <c r="Y61" s="25">
        <f ca="1">Horarios!C61</f>
        <v>46189</v>
      </c>
      <c r="Z61" s="26" t="str">
        <f>$Z$4</f>
        <v>J1</v>
      </c>
      <c r="AA61" s="27" t="str">
        <f ca="1">A63</f>
        <v>Arabia Saudita</v>
      </c>
      <c r="AB61" s="49" t="e" cm="1" vm="32">
        <f t="array" aca="1" ref="AB61" ca="1">Ver_flag_local</f>
        <v>#VALUE!</v>
      </c>
      <c r="AC61" s="50">
        <v>1</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4</v>
      </c>
      <c r="BK61" s="16">
        <f t="shared" ca="1" si="173"/>
        <v>7</v>
      </c>
      <c r="BL61" s="16">
        <f t="shared" ca="1" si="190"/>
        <v>-3</v>
      </c>
      <c r="BM61" s="16">
        <f t="shared" ca="1" si="191"/>
        <v>8</v>
      </c>
      <c r="BN61" s="16">
        <f t="shared" ca="1" si="192"/>
        <v>7</v>
      </c>
      <c r="BO61" s="16" t="str">
        <f t="shared" si="174"/>
        <v>4D</v>
      </c>
      <c r="BP61" s="16"/>
      <c r="BQ61" s="16"/>
      <c r="BR61" s="16">
        <f t="shared" ca="1" si="175"/>
        <v>3</v>
      </c>
      <c r="BS61" s="16">
        <f t="shared" ca="1" si="193"/>
        <v>1</v>
      </c>
      <c r="BT61" s="16" t="str">
        <f t="shared" ca="1" si="194"/>
        <v>Pos. 1 (10)</v>
      </c>
      <c r="BU61" s="16">
        <f t="shared" ca="1" si="176"/>
        <v>-3</v>
      </c>
      <c r="BV61" s="16">
        <f t="shared" ca="1" si="177"/>
        <v>7</v>
      </c>
      <c r="BW61" s="16" t="str">
        <f t="shared" ca="1" si="178"/>
        <v>Pos. 7 (3)</v>
      </c>
      <c r="BX61" s="16">
        <f t="shared" ca="1" si="179"/>
        <v>4</v>
      </c>
      <c r="BY61" s="16">
        <f t="shared" ca="1" si="180"/>
        <v>7</v>
      </c>
      <c r="BZ61" s="16" t="str">
        <f t="shared" ca="1" si="181"/>
        <v>Pos. 7 (2)</v>
      </c>
      <c r="CA61" s="16">
        <f t="shared" ca="1" si="182"/>
        <v>4</v>
      </c>
      <c r="CB61" s="16">
        <f t="shared" ca="1" si="195"/>
        <v>8</v>
      </c>
      <c r="CC61" s="16"/>
      <c r="CD61" s="16">
        <f t="shared" ca="1" si="183"/>
        <v>7.008</v>
      </c>
      <c r="CE61" s="16">
        <f t="shared" ca="1" si="196"/>
        <v>6</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Ghana</v>
      </c>
    </row>
    <row r="62" spans="1:121" ht="16.149999999999999"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0"/>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2</v>
      </c>
      <c r="BK62" s="16">
        <f t="shared" ca="1" si="173"/>
        <v>5</v>
      </c>
      <c r="BL62" s="16">
        <f t="shared" ca="1" si="190"/>
        <v>-3</v>
      </c>
      <c r="BM62" s="16">
        <f t="shared" ca="1" si="191"/>
        <v>9</v>
      </c>
      <c r="BN62" s="16">
        <f t="shared" ca="1" si="192"/>
        <v>9</v>
      </c>
      <c r="BO62" s="16" t="str">
        <f t="shared" si="174"/>
        <v>4E</v>
      </c>
      <c r="BP62" s="16"/>
      <c r="BQ62" s="16"/>
      <c r="BR62" s="16">
        <f t="shared" ca="1" si="175"/>
        <v>3</v>
      </c>
      <c r="BS62" s="16">
        <f t="shared" ca="1" si="193"/>
        <v>1</v>
      </c>
      <c r="BT62" s="16" t="str">
        <f t="shared" ca="1" si="194"/>
        <v>Pos. 1 (10)</v>
      </c>
      <c r="BU62" s="16">
        <f t="shared" ca="1" si="176"/>
        <v>-3</v>
      </c>
      <c r="BV62" s="16">
        <f t="shared" ca="1" si="177"/>
        <v>7</v>
      </c>
      <c r="BW62" s="16" t="str">
        <f t="shared" ca="1" si="178"/>
        <v>Pos. 7 (3)</v>
      </c>
      <c r="BX62" s="16">
        <f t="shared" ca="1" si="179"/>
        <v>2</v>
      </c>
      <c r="BY62" s="16">
        <f t="shared" ca="1" si="180"/>
        <v>9</v>
      </c>
      <c r="BZ62" s="16" t="str">
        <f t="shared" ca="1" si="181"/>
        <v>-</v>
      </c>
      <c r="CA62" s="16" t="str">
        <f t="shared" ca="1" si="182"/>
        <v>-</v>
      </c>
      <c r="CB62" s="16">
        <f t="shared" ca="1" si="195"/>
        <v>9</v>
      </c>
      <c r="CC62" s="16"/>
      <c r="CD62" s="16">
        <f t="shared" ca="1" si="183"/>
        <v>9</v>
      </c>
      <c r="CE62" s="16" t="str">
        <f t="shared" ca="1" si="196"/>
        <v>-</v>
      </c>
      <c r="CF62" s="16">
        <f t="shared" ca="1" si="197"/>
        <v>9</v>
      </c>
      <c r="DJ62" s="16">
        <f t="shared" ca="1" si="184"/>
        <v>5</v>
      </c>
      <c r="DK62" s="16"/>
      <c r="DL62" s="16">
        <f t="shared" ca="1" si="185"/>
        <v>2</v>
      </c>
      <c r="DM62" s="16" t="str">
        <f t="shared" ca="1" si="186"/>
        <v>5.2</v>
      </c>
      <c r="DN62" s="16" t="e" cm="1" vm="9">
        <f t="array" aca="1" ref="DN62" ca="1">OFFSET(Horarios!$P$3,DJ62-1,0,DL62,1)</f>
        <v>#VALUE!</v>
      </c>
      <c r="DO62" s="16"/>
      <c r="DP62" s="16">
        <v>5</v>
      </c>
      <c r="DQ62" s="16" t="str">
        <f t="shared" ca="1" si="198"/>
        <v>Arabia Saudita</v>
      </c>
    </row>
    <row r="63" spans="1:121" ht="16.149999999999999"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0"/>
      <c r="X63" s="24">
        <f ca="1">Horarios!C63</f>
        <v>46195</v>
      </c>
      <c r="Y63" s="25">
        <f ca="1">Horarios!C63</f>
        <v>46195</v>
      </c>
      <c r="Z63" s="26" t="str">
        <f>$Z$6</f>
        <v>J2</v>
      </c>
      <c r="AA63" s="27" t="str">
        <f ca="1">A64</f>
        <v>Uruguay</v>
      </c>
      <c r="AB63" s="49" t="e" cm="1" vm="33">
        <f t="array" aca="1" ref="AB63" ca="1">Ver_flag_local</f>
        <v>#VALUE!</v>
      </c>
      <c r="AC63" s="50">
        <v>3</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7</v>
      </c>
      <c r="AS63" s="39">
        <f t="shared" ca="1" si="215"/>
        <v>5</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3</v>
      </c>
      <c r="BK63" s="16">
        <f t="shared" ca="1" si="173"/>
        <v>4</v>
      </c>
      <c r="BL63" s="16">
        <f t="shared" ca="1" si="190"/>
        <v>-1</v>
      </c>
      <c r="BM63" s="16">
        <f t="shared" ca="1" si="191"/>
        <v>3</v>
      </c>
      <c r="BN63" s="16">
        <f t="shared" ca="1" si="192"/>
        <v>3</v>
      </c>
      <c r="BO63" s="16" t="str">
        <f t="shared" si="174"/>
        <v>4F</v>
      </c>
      <c r="BP63" s="16"/>
      <c r="BQ63" s="16"/>
      <c r="BR63" s="16">
        <f t="shared" ca="1" si="175"/>
        <v>3</v>
      </c>
      <c r="BS63" s="16">
        <f t="shared" ca="1" si="193"/>
        <v>1</v>
      </c>
      <c r="BT63" s="16" t="str">
        <f t="shared" ca="1" si="194"/>
        <v>Pos. 1 (10)</v>
      </c>
      <c r="BU63" s="16">
        <f t="shared" ca="1" si="176"/>
        <v>-1</v>
      </c>
      <c r="BV63" s="16">
        <f t="shared" ca="1" si="177"/>
        <v>2</v>
      </c>
      <c r="BW63" s="16" t="str">
        <f t="shared" ca="1" si="178"/>
        <v>Pos. 2 (3)</v>
      </c>
      <c r="BX63" s="16">
        <f t="shared" ca="1" si="179"/>
        <v>3</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5</v>
      </c>
      <c r="DK63" s="16"/>
      <c r="DL63" s="16">
        <f t="shared" ca="1" si="185"/>
        <v>2</v>
      </c>
      <c r="DM63" s="16" t="str">
        <f t="shared" ca="1" si="186"/>
        <v>5.2</v>
      </c>
      <c r="DN63" s="16" t="e" cm="1" vm="9">
        <f t="array" aca="1" ref="DN63" ca="1">OFFSET(Horarios!$P$3,DJ63-1,0,DL63,1)</f>
        <v>#VALUE!</v>
      </c>
      <c r="DO63" s="16"/>
      <c r="DP63" s="16">
        <v>6</v>
      </c>
      <c r="DQ63" s="16" t="str">
        <f t="shared" ca="1" si="198"/>
        <v>RD Congo</v>
      </c>
    </row>
    <row r="64" spans="1:121" ht="16.149999999999999"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0"/>
      <c r="X64" s="24">
        <f ca="1">Horarios!C64</f>
        <v>46200.083333333336</v>
      </c>
      <c r="Y64" s="25">
        <f ca="1">Horarios!C64</f>
        <v>46200.083333333336</v>
      </c>
      <c r="Z64" s="26" t="str">
        <f>$Z$8</f>
        <v>J3</v>
      </c>
      <c r="AA64" s="27" t="str">
        <f ca="1">A62</f>
        <v>Cabo Verde</v>
      </c>
      <c r="AB64" s="49" t="e" cm="1" vm="31">
        <f t="array" aca="1" ref="AB64" ca="1">Ver_flag_local</f>
        <v>#VALUE!</v>
      </c>
      <c r="AC64" s="50">
        <v>0</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5</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3</v>
      </c>
      <c r="BF64" s="16">
        <f t="shared" ca="1" si="189"/>
        <v>3</v>
      </c>
      <c r="BG64" s="16">
        <f t="shared" ca="1" si="169"/>
        <v>1</v>
      </c>
      <c r="BH64" s="16">
        <f t="shared" ca="1" si="170"/>
        <v>0</v>
      </c>
      <c r="BI64" s="16">
        <f t="shared" ca="1" si="171"/>
        <v>2</v>
      </c>
      <c r="BJ64" s="16">
        <f t="shared" ca="1" si="172"/>
        <v>5</v>
      </c>
      <c r="BK64" s="16">
        <f t="shared" ca="1" si="173"/>
        <v>6</v>
      </c>
      <c r="BL64" s="16">
        <f t="shared" ca="1" si="190"/>
        <v>-1</v>
      </c>
      <c r="BM64" s="16">
        <f t="shared" ca="1" si="191"/>
        <v>2</v>
      </c>
      <c r="BN64" s="16">
        <f t="shared" ca="1" si="192"/>
        <v>2</v>
      </c>
      <c r="BO64" s="16" t="str">
        <f t="shared" si="174"/>
        <v>4G</v>
      </c>
      <c r="BP64" s="16"/>
      <c r="BQ64" s="16"/>
      <c r="BR64" s="16">
        <f t="shared" ca="1" si="175"/>
        <v>3</v>
      </c>
      <c r="BS64" s="16">
        <f t="shared" ca="1" si="193"/>
        <v>1</v>
      </c>
      <c r="BT64" s="16" t="str">
        <f t="shared" ca="1" si="194"/>
        <v>Pos. 1 (10)</v>
      </c>
      <c r="BU64" s="16">
        <f t="shared" ca="1" si="176"/>
        <v>-1</v>
      </c>
      <c r="BV64" s="16">
        <f t="shared" ca="1" si="177"/>
        <v>2</v>
      </c>
      <c r="BW64" s="16" t="str">
        <f t="shared" ca="1" si="178"/>
        <v>Pos. 2 (3)</v>
      </c>
      <c r="BX64" s="16">
        <f t="shared" ca="1" si="179"/>
        <v>5</v>
      </c>
      <c r="BY64" s="16">
        <f t="shared" ca="1" si="180"/>
        <v>2</v>
      </c>
      <c r="BZ64" s="16" t="str">
        <f t="shared" ca="1" si="181"/>
        <v>-</v>
      </c>
      <c r="CA64" s="16" t="str">
        <f t="shared" ca="1" si="182"/>
        <v>-</v>
      </c>
      <c r="CB64" s="16">
        <f t="shared" ca="1" si="195"/>
        <v>2</v>
      </c>
      <c r="CC64" s="16"/>
      <c r="CD64" s="16">
        <f t="shared" ca="1" si="183"/>
        <v>2</v>
      </c>
      <c r="CE64" s="16" t="str">
        <f t="shared" ca="1" si="196"/>
        <v>-</v>
      </c>
      <c r="CF64" s="16">
        <f t="shared" ca="1" si="197"/>
        <v>2</v>
      </c>
      <c r="DJ64" s="16">
        <f t="shared" ca="1" si="184"/>
        <v>7</v>
      </c>
      <c r="DK64" s="16"/>
      <c r="DL64" s="16">
        <f t="shared" ca="1" si="185"/>
        <v>2</v>
      </c>
      <c r="DM64" s="16" t="str">
        <f t="shared" ca="1" si="186"/>
        <v>7.2</v>
      </c>
      <c r="DN64" s="16" t="e" cm="1" vm="9">
        <f t="array" aca="1" ref="DN64" ca="1">OFFSET(Horarios!$P$3,DJ64-1,0,DL64,1)</f>
        <v>#VALUE!</v>
      </c>
      <c r="DO64" s="16"/>
      <c r="DP64" s="16">
        <v>7</v>
      </c>
      <c r="DQ64" s="16" t="str">
        <f t="shared" ca="1" si="198"/>
        <v>Escocia</v>
      </c>
    </row>
    <row r="65" spans="1:121" ht="16.149999999999999"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1"/>
      <c r="X65" s="28">
        <f ca="1">Horarios!C65</f>
        <v>46200.083333333336</v>
      </c>
      <c r="Y65" s="29">
        <f ca="1">Horarios!C65</f>
        <v>46200.083333333336</v>
      </c>
      <c r="Z65" s="30" t="str">
        <f>$Z$8</f>
        <v>J3</v>
      </c>
      <c r="AA65" s="31" t="str">
        <f ca="1">A64</f>
        <v>Uruguay</v>
      </c>
      <c r="AB65" s="52" t="e" cm="1" vm="33">
        <f t="array" aca="1" ref="AB65" ca="1">Ver_flag_local</f>
        <v>#VALUE!</v>
      </c>
      <c r="AC65" s="53">
        <v>1</v>
      </c>
      <c r="AD65" s="54">
        <v>3</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9</v>
      </c>
      <c r="AT65" s="48">
        <f t="shared" ca="1" si="215"/>
        <v>-8</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5</v>
      </c>
      <c r="BL65" s="16">
        <f t="shared" ca="1" si="190"/>
        <v>-2</v>
      </c>
      <c r="BM65" s="16">
        <f t="shared" ca="1" si="191"/>
        <v>5</v>
      </c>
      <c r="BN65" s="16">
        <f t="shared" ca="1" si="192"/>
        <v>6</v>
      </c>
      <c r="BO65" s="16" t="str">
        <f t="shared" si="174"/>
        <v>4H</v>
      </c>
      <c r="BP65" s="16"/>
      <c r="BQ65" s="16"/>
      <c r="BR65" s="16">
        <f t="shared" ca="1" si="175"/>
        <v>3</v>
      </c>
      <c r="BS65" s="16">
        <f t="shared" ca="1" si="193"/>
        <v>1</v>
      </c>
      <c r="BT65" s="16" t="str">
        <f t="shared" ca="1" si="194"/>
        <v>Pos. 1 (10)</v>
      </c>
      <c r="BU65" s="16">
        <f t="shared" ca="1" si="176"/>
        <v>-2</v>
      </c>
      <c r="BV65" s="16">
        <f t="shared" ca="1" si="177"/>
        <v>5</v>
      </c>
      <c r="BW65" s="16" t="str">
        <f t="shared" ca="1" si="178"/>
        <v>Pos. 5 (2)</v>
      </c>
      <c r="BX65" s="16">
        <f t="shared" ca="1" si="179"/>
        <v>3</v>
      </c>
      <c r="BY65" s="16">
        <f t="shared" ca="1" si="180"/>
        <v>5</v>
      </c>
      <c r="BZ65" s="16" t="str">
        <f t="shared" ca="1" si="181"/>
        <v>Pos. 5 (2)</v>
      </c>
      <c r="CA65" s="16">
        <f t="shared" ca="1" si="182"/>
        <v>11</v>
      </c>
      <c r="CB65" s="16">
        <f t="shared" ca="1" si="195"/>
        <v>5</v>
      </c>
      <c r="CC65" s="16"/>
      <c r="CD65" s="16">
        <f t="shared" ca="1" si="183"/>
        <v>6.0049999999999999</v>
      </c>
      <c r="CE65" s="16">
        <f t="shared" ca="1" si="196"/>
        <v>5</v>
      </c>
      <c r="CF65" s="16">
        <f t="shared" ca="1" si="197"/>
        <v>6</v>
      </c>
      <c r="DJ65" s="16">
        <f t="shared" ca="1" si="184"/>
        <v>7</v>
      </c>
      <c r="DK65" s="16"/>
      <c r="DL65" s="16">
        <f t="shared" ca="1" si="185"/>
        <v>2</v>
      </c>
      <c r="DM65" s="16" t="str">
        <f t="shared" ca="1" si="186"/>
        <v>7.2</v>
      </c>
      <c r="DN65" s="16" t="e" cm="1" vm="9">
        <f t="array" aca="1" ref="DN65" ca="1">OFFSET(Horarios!$P$3,DJ65-1,0,DL65,1)</f>
        <v>#VALUE!</v>
      </c>
      <c r="DO65" s="16"/>
      <c r="DP65" s="16">
        <v>8</v>
      </c>
      <c r="DQ65" s="16" t="str">
        <f t="shared" ca="1" si="198"/>
        <v>Paraguay</v>
      </c>
    </row>
    <row r="66" spans="1:121" ht="16.14999999999999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4</v>
      </c>
      <c r="BK66" s="16">
        <f t="shared" ca="1" si="173"/>
        <v>4</v>
      </c>
      <c r="BL66" s="16">
        <f t="shared" ca="1" si="190"/>
        <v>0</v>
      </c>
      <c r="BM66" s="16">
        <f t="shared" ca="1" si="191"/>
        <v>1</v>
      </c>
      <c r="BN66" s="16">
        <f t="shared" ca="1" si="192"/>
        <v>1</v>
      </c>
      <c r="BO66" s="16" t="str">
        <f t="shared" si="174"/>
        <v>4I</v>
      </c>
      <c r="BP66" s="16"/>
      <c r="BQ66" s="16"/>
      <c r="BR66" s="16">
        <f t="shared" ca="1" si="175"/>
        <v>3</v>
      </c>
      <c r="BS66" s="16">
        <f t="shared" ca="1" si="193"/>
        <v>1</v>
      </c>
      <c r="BT66" s="16" t="str">
        <f t="shared" ca="1" si="194"/>
        <v>Pos. 1 (10)</v>
      </c>
      <c r="BU66" s="16">
        <f t="shared" ca="1" si="176"/>
        <v>0</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Costa de Marfil</v>
      </c>
    </row>
    <row r="67" spans="1:121" ht="16.14999999999999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3</v>
      </c>
      <c r="BF67" s="16">
        <f t="shared" ca="1" si="189"/>
        <v>3</v>
      </c>
      <c r="BG67" s="16">
        <f t="shared" ca="1" si="169"/>
        <v>1</v>
      </c>
      <c r="BH67" s="16">
        <f t="shared" ca="1" si="170"/>
        <v>0</v>
      </c>
      <c r="BI67" s="16">
        <f t="shared" ca="1" si="171"/>
        <v>2</v>
      </c>
      <c r="BJ67" s="16">
        <f t="shared" ca="1" si="172"/>
        <v>1</v>
      </c>
      <c r="BK67" s="16">
        <f t="shared" ca="1" si="173"/>
        <v>7</v>
      </c>
      <c r="BL67" s="16">
        <f t="shared" ca="1" si="190"/>
        <v>-6</v>
      </c>
      <c r="BM67" s="16">
        <f t="shared" ca="1" si="191"/>
        <v>10</v>
      </c>
      <c r="BN67" s="16">
        <f t="shared" ca="1" si="192"/>
        <v>10</v>
      </c>
      <c r="BO67" s="16" t="str">
        <f t="shared" si="174"/>
        <v>4J</v>
      </c>
      <c r="BP67" s="16"/>
      <c r="BQ67" s="16"/>
      <c r="BR67" s="16">
        <f t="shared" ca="1" si="175"/>
        <v>3</v>
      </c>
      <c r="BS67" s="16">
        <f t="shared" ca="1" si="193"/>
        <v>1</v>
      </c>
      <c r="BT67" s="16" t="str">
        <f t="shared" ca="1" si="194"/>
        <v>Pos. 1 (10)</v>
      </c>
      <c r="BU67" s="16">
        <f t="shared" ca="1" si="176"/>
        <v>-6</v>
      </c>
      <c r="BV67" s="16">
        <f t="shared" ca="1" si="177"/>
        <v>10</v>
      </c>
      <c r="BW67" s="16" t="str">
        <f t="shared" ca="1" si="178"/>
        <v>-</v>
      </c>
      <c r="BX67" s="16" t="str">
        <f t="shared" ca="1" si="179"/>
        <v>-</v>
      </c>
      <c r="BY67" s="16">
        <f t="shared" ca="1" si="180"/>
        <v>10</v>
      </c>
      <c r="BZ67" s="16" t="str">
        <f t="shared" ca="1" si="181"/>
        <v>-</v>
      </c>
      <c r="CA67" s="16" t="str">
        <f t="shared" ca="1" si="182"/>
        <v>-</v>
      </c>
      <c r="CB67" s="16">
        <f t="shared" ca="1" si="195"/>
        <v>10</v>
      </c>
      <c r="CC67" s="16"/>
      <c r="CD67" s="16">
        <f t="shared" ca="1" si="183"/>
        <v>10</v>
      </c>
      <c r="CE67" s="16" t="str">
        <f t="shared" ca="1" si="196"/>
        <v>-</v>
      </c>
      <c r="CF67" s="16">
        <f t="shared" ca="1" si="197"/>
        <v>10</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Jordania</v>
      </c>
    </row>
    <row r="68" spans="1:121" ht="16.149999999999999"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e" cm="1" vm="34">
        <f t="array" aca="1" ref="AB68" ca="1">Ver_flag_local</f>
        <v>#VALUE!</v>
      </c>
      <c r="AC68" s="50">
        <v>2</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3</v>
      </c>
      <c r="BK68" s="16">
        <f t="shared" ca="1" si="173"/>
        <v>5</v>
      </c>
      <c r="BL68" s="16">
        <f t="shared" ca="1" si="190"/>
        <v>-2</v>
      </c>
      <c r="BM68" s="16">
        <f t="shared" ca="1" si="191"/>
        <v>6</v>
      </c>
      <c r="BN68" s="16">
        <f t="shared" ca="1" si="192"/>
        <v>5</v>
      </c>
      <c r="BO68" s="16" t="str">
        <f t="shared" si="174"/>
        <v>4K</v>
      </c>
      <c r="BP68" s="16"/>
      <c r="BQ68" s="16"/>
      <c r="BR68" s="16">
        <f t="shared" ca="1" si="175"/>
        <v>3</v>
      </c>
      <c r="BS68" s="16">
        <f t="shared" ca="1" si="193"/>
        <v>1</v>
      </c>
      <c r="BT68" s="16" t="str">
        <f t="shared" ca="1" si="194"/>
        <v>Pos. 1 (10)</v>
      </c>
      <c r="BU68" s="16">
        <f t="shared" ca="1" si="176"/>
        <v>-2</v>
      </c>
      <c r="BV68" s="16">
        <f t="shared" ca="1" si="177"/>
        <v>5</v>
      </c>
      <c r="BW68" s="16" t="str">
        <f t="shared" ca="1" si="178"/>
        <v>Pos. 5 (2)</v>
      </c>
      <c r="BX68" s="16">
        <f t="shared" ca="1" si="179"/>
        <v>3</v>
      </c>
      <c r="BY68" s="16">
        <f t="shared" ca="1" si="180"/>
        <v>5</v>
      </c>
      <c r="BZ68" s="16" t="str">
        <f t="shared" ca="1" si="181"/>
        <v>Pos. 5 (2)</v>
      </c>
      <c r="CA68" s="16">
        <f t="shared" ca="1" si="182"/>
        <v>3</v>
      </c>
      <c r="CB68" s="16">
        <f t="shared" ca="1" si="195"/>
        <v>6</v>
      </c>
      <c r="CC68" s="16"/>
      <c r="CD68" s="16">
        <f t="shared" ca="1" si="183"/>
        <v>5.0060000000000002</v>
      </c>
      <c r="CE68" s="16">
        <f t="shared" ca="1" si="196"/>
        <v>4</v>
      </c>
      <c r="CF68" s="16">
        <f t="shared" ca="1" si="197"/>
        <v>5</v>
      </c>
      <c r="DJ68" s="16">
        <f t="shared" ca="1" si="184"/>
        <v>11</v>
      </c>
      <c r="DK68" s="16"/>
      <c r="DL68" s="16">
        <f t="shared" ca="1" si="185"/>
        <v>2</v>
      </c>
      <c r="DM68" s="16" t="str">
        <f t="shared" ca="1" si="186"/>
        <v>11.2</v>
      </c>
      <c r="DN68" s="16" t="e" cm="1" vm="9">
        <f t="array" aca="1" ref="DN68" ca="1">OFFSET(Horarios!$P$3,DJ68-1,0,DL68,1)</f>
        <v>#VALUE!</v>
      </c>
      <c r="DO68" s="16"/>
      <c r="DP68" s="16">
        <v>11</v>
      </c>
      <c r="DQ68" s="16" t="str">
        <f t="shared" ca="1" si="198"/>
        <v>Catar</v>
      </c>
    </row>
    <row r="69" spans="1:121" ht="16.149999999999999"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3</v>
      </c>
      <c r="BL69" s="16">
        <f t="shared" ca="1" si="190"/>
        <v>-1</v>
      </c>
      <c r="BM69" s="16">
        <f t="shared" ca="1" si="191"/>
        <v>4</v>
      </c>
      <c r="BN69" s="16">
        <f t="shared" ca="1" si="192"/>
        <v>4</v>
      </c>
      <c r="BO69" s="16" t="str">
        <f t="shared" si="174"/>
        <v>4L</v>
      </c>
      <c r="BP69" s="16"/>
      <c r="BQ69" s="16"/>
      <c r="BR69" s="16">
        <f t="shared" ca="1" si="175"/>
        <v>3</v>
      </c>
      <c r="BS69" s="16">
        <f t="shared" ca="1" si="193"/>
        <v>1</v>
      </c>
      <c r="BT69" s="16" t="str">
        <f t="shared" ca="1" si="194"/>
        <v>Pos. 1 (10)</v>
      </c>
      <c r="BU69" s="16">
        <f t="shared" ca="1" si="176"/>
        <v>-1</v>
      </c>
      <c r="BV69" s="16">
        <f t="shared" ca="1" si="177"/>
        <v>2</v>
      </c>
      <c r="BW69" s="16" t="str">
        <f t="shared" ca="1" si="178"/>
        <v>Pos. 2 (3)</v>
      </c>
      <c r="BX69" s="16">
        <f t="shared" ca="1" si="179"/>
        <v>2</v>
      </c>
      <c r="BY69" s="16">
        <f t="shared" ca="1" si="180"/>
        <v>4</v>
      </c>
      <c r="BZ69" s="16" t="str">
        <f t="shared" ca="1" si="181"/>
        <v>-</v>
      </c>
      <c r="CA69" s="16" t="str">
        <f t="shared" ca="1" si="182"/>
        <v>-</v>
      </c>
      <c r="CB69" s="16">
        <f ca="1">BY69+COUNTIFS(BZ$58:BZ$69,BZ69,CA$58:CA$69,"&gt;"&amp;CA69)</f>
        <v>4</v>
      </c>
      <c r="CC69" s="16"/>
      <c r="CD69" s="16">
        <f t="shared" ca="1" si="183"/>
        <v>4</v>
      </c>
      <c r="CE69" s="16" t="str">
        <f t="shared" ca="1" si="196"/>
        <v>-</v>
      </c>
      <c r="CF69" s="16">
        <f t="shared" ca="1" si="197"/>
        <v>4</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República Checa</v>
      </c>
    </row>
    <row r="70" spans="1:121" ht="16.149999999999999"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8</v>
      </c>
      <c r="AS70" s="36">
        <f t="shared" ca="1" si="233"/>
        <v>2</v>
      </c>
      <c r="AT70" s="41">
        <f t="shared" ca="1" si="233"/>
        <v>6</v>
      </c>
      <c r="AU70" s="330">
        <f ca="1">INDEX($DL$6:$DL$53,MATCH(AI70,$DP$6:$DP$53,0))</f>
        <v>1</v>
      </c>
      <c r="AV70" s="182" t="str">
        <f ca="1">INDEX($BD$6:$BD$53,MATCH(AI70,$BM$6:$BM$53,0))</f>
        <v>Francia</v>
      </c>
      <c r="AW70" s="210"/>
      <c r="AX70" s="171"/>
      <c r="AY70" s="201" t="str">
        <f ca="1">+A69</f>
        <v>Francia</v>
      </c>
      <c r="AZ70" s="202"/>
      <c r="BA70" s="176"/>
      <c r="DN70" s="16">
        <f ca="1"/>
        <v>12</v>
      </c>
    </row>
    <row r="71" spans="1:121" ht="16.149999999999999"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4</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149999999999999"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e" cm="1" vm="37">
        <f t="array" aca="1" ref="AB72" ca="1">Ver_flag_local</f>
        <v>#VALUE!</v>
      </c>
      <c r="AC72" s="50">
        <v>1</v>
      </c>
      <c r="AD72" s="51">
        <v>3</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4</v>
      </c>
      <c r="AS72" s="39">
        <f t="shared" ca="1" si="233"/>
        <v>4</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6.149999999999999"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6.14999999999999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14999999999999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149999999999999"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42"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149999999999999"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42"/>
      <c r="X77" s="24">
        <f ca="1">Horarios!C77</f>
        <v>46190.25</v>
      </c>
      <c r="Y77" s="25">
        <f ca="1">Horarios!C77</f>
        <v>46190.25</v>
      </c>
      <c r="Z77" s="26" t="str">
        <f>$Z$4</f>
        <v>J1</v>
      </c>
      <c r="AA77" s="27" t="str">
        <f ca="1">A79</f>
        <v>Austria</v>
      </c>
      <c r="AB77" s="49" t="e" cm="1" vm="40">
        <f t="array" aca="1" ref="AB77" ca="1">Ver_flag_local</f>
        <v>#VALUE!</v>
      </c>
      <c r="AC77" s="50">
        <v>3</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149999999999999"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42"/>
      <c r="X78" s="24">
        <f ca="1">Horarios!C78</f>
        <v>46195.791666666664</v>
      </c>
      <c r="Y78" s="25">
        <f ca="1">Horarios!C78</f>
        <v>46195.791666666664</v>
      </c>
      <c r="Z78" s="26" t="str">
        <f>$Z$6</f>
        <v>J2</v>
      </c>
      <c r="AA78" s="27" t="str">
        <f ca="1">A77</f>
        <v>Argentina</v>
      </c>
      <c r="AB78" s="49" t="e" cm="1" vm="38">
        <f t="array" aca="1" ref="AB78" ca="1">Ver_flag_local</f>
        <v>#VALUE!</v>
      </c>
      <c r="AC78" s="50">
        <v>1</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0</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149999999999999" customHeight="1">
      <c r="A79" s="16" t="str">
        <f ca="1">+Equipos!B40</f>
        <v>Austria</v>
      </c>
      <c r="B79" s="16"/>
      <c r="C79" s="16"/>
      <c r="D79" s="16" t="str">
        <f t="shared" si="235"/>
        <v>Local</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42"/>
      <c r="X79" s="24">
        <f ca="1">Horarios!C79</f>
        <v>46196.208333333336</v>
      </c>
      <c r="Y79" s="25">
        <f ca="1">Horarios!C79</f>
        <v>46196.208333333336</v>
      </c>
      <c r="Z79" s="26" t="str">
        <f>$Z$6</f>
        <v>J2</v>
      </c>
      <c r="AA79" s="27" t="str">
        <f ca="1">A80</f>
        <v>Jordania</v>
      </c>
      <c r="AB79" s="49" t="e" cm="1" vm="41">
        <f t="array" aca="1" ref="AB79" ca="1">Ver_flag_local</f>
        <v>#VALUE!</v>
      </c>
      <c r="AC79" s="50">
        <v>1</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6</v>
      </c>
      <c r="AS79" s="39">
        <f t="shared" ca="1" si="251"/>
        <v>1</v>
      </c>
      <c r="AT79" s="43">
        <f t="shared" ca="1" si="251"/>
        <v>5</v>
      </c>
      <c r="AU79" s="330">
        <f ca="1">INDEX($DL$6:$DL$53,MATCH(AI79,$DP$6:$DP$53,0))</f>
        <v>1</v>
      </c>
      <c r="AV79" s="182" t="str">
        <f ca="1">INDEX($BD$6:$BD$53,MATCH(AI79,$BM$6:$BM$53,0))</f>
        <v>Austria</v>
      </c>
      <c r="AW79" s="210"/>
      <c r="AX79" s="171"/>
      <c r="AY79" s="203" t="str">
        <f ca="1">+A78</f>
        <v>Argelia</v>
      </c>
      <c r="AZ79" s="204"/>
      <c r="BA79" s="176"/>
      <c r="DN79" s="16"/>
    </row>
    <row r="80" spans="1:121" ht="16.149999999999999"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42"/>
      <c r="X80" s="24">
        <f ca="1">Horarios!C80</f>
        <v>46201.166666666664</v>
      </c>
      <c r="Y80" s="25">
        <f ca="1">Horarios!C80</f>
        <v>46201.166666666664</v>
      </c>
      <c r="Z80" s="26" t="str">
        <f>$Z$8</f>
        <v>J3</v>
      </c>
      <c r="AA80" s="27" t="str">
        <f ca="1">A78</f>
        <v>Argelia</v>
      </c>
      <c r="AB80" s="49" t="e" cm="1" vm="39">
        <f t="array" aca="1" ref="AB80" ca="1">Ver_flag_local</f>
        <v>#VALUE!</v>
      </c>
      <c r="AC80" s="50">
        <v>0</v>
      </c>
      <c r="AD80" s="51">
        <v>3</v>
      </c>
      <c r="AE80" s="595" t="e" cm="1" vm="40">
        <f t="array" aca="1" ref="AE80" ca="1">Ver_flag_visit</f>
        <v>#VALUE!</v>
      </c>
      <c r="AF80" s="32" t="str">
        <f ca="1">A79</f>
        <v>Austria</v>
      </c>
      <c r="AG80" s="323">
        <f t="shared" si="248"/>
        <v>1</v>
      </c>
      <c r="AH80" s="195">
        <v>69</v>
      </c>
      <c r="AI80" s="181" t="str">
        <f t="shared" si="252"/>
        <v>3J</v>
      </c>
      <c r="AJ80" s="42">
        <v>3</v>
      </c>
      <c r="AK80" s="602" t="e" cm="1" vm="41">
        <f t="array" aca="1" ref="AK80" ca="1">Ver_flag_visit</f>
        <v>#VALUE!</v>
      </c>
      <c r="AL80" s="37" t="str">
        <f ca="1">IFERROR(INDEX($BD$6:$BD$53,MATCH(AI80,$BN$6:$BN$53,0)),"")</f>
        <v>Jordania</v>
      </c>
      <c r="AM80" s="38">
        <f t="shared" ca="1" si="251"/>
        <v>3</v>
      </c>
      <c r="AN80" s="39">
        <f t="shared" ca="1" si="251"/>
        <v>3</v>
      </c>
      <c r="AO80" s="39">
        <f t="shared" ca="1" si="251"/>
        <v>1</v>
      </c>
      <c r="AP80" s="39">
        <f t="shared" ca="1" si="251"/>
        <v>0</v>
      </c>
      <c r="AQ80" s="39">
        <f t="shared" ca="1" si="251"/>
        <v>2</v>
      </c>
      <c r="AR80" s="39">
        <f t="shared" ca="1" si="251"/>
        <v>1</v>
      </c>
      <c r="AS80" s="39">
        <f t="shared" ca="1" si="251"/>
        <v>7</v>
      </c>
      <c r="AT80" s="43">
        <f t="shared" ca="1" si="251"/>
        <v>-6</v>
      </c>
      <c r="AU80" s="330">
        <f ca="1">INDEX($DL$6:$DL$53,MATCH(AI80,$DP$6:$DP$53,0))</f>
        <v>1</v>
      </c>
      <c r="AV80" s="182" t="str">
        <f ca="1">INDEX($BD$6:$BD$53,MATCH(AI80,$BM$6:$BM$53,0))</f>
        <v>Jordania</v>
      </c>
      <c r="AW80" s="210"/>
      <c r="AX80" s="171"/>
      <c r="AY80" s="201" t="str">
        <f ca="1">+A79</f>
        <v>Austria</v>
      </c>
      <c r="AZ80" s="202"/>
      <c r="BA80" s="176"/>
      <c r="DN80" s="16"/>
    </row>
    <row r="81" spans="1:118" ht="16.149999999999999"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39">
        <f t="array" aca="1" ref="AK81" ca="1">Ver_flag_visit</f>
        <v>#VALUE!</v>
      </c>
      <c r="AL81" s="45" t="str">
        <f ca="1">IFERROR(INDEX($BD$6:$BD$53,MATCH(AI81,$BN$6:$BN$53,0)),"")</f>
        <v>Argelia</v>
      </c>
      <c r="AM81" s="46">
        <f t="shared" ca="1" si="251"/>
        <v>0</v>
      </c>
      <c r="AN81" s="47">
        <f t="shared" ca="1" si="251"/>
        <v>3</v>
      </c>
      <c r="AO81" s="47">
        <f t="shared" ca="1" si="251"/>
        <v>0</v>
      </c>
      <c r="AP81" s="47">
        <f t="shared" ca="1" si="251"/>
        <v>0</v>
      </c>
      <c r="AQ81" s="47">
        <f t="shared" ca="1" si="251"/>
        <v>3</v>
      </c>
      <c r="AR81" s="47">
        <f t="shared" ca="1" si="251"/>
        <v>0</v>
      </c>
      <c r="AS81" s="47">
        <f t="shared" ca="1" si="251"/>
        <v>6</v>
      </c>
      <c r="AT81" s="48">
        <f t="shared" ca="1" si="251"/>
        <v>-6</v>
      </c>
      <c r="AU81" s="330">
        <f ca="1">INDEX($DL$6:$DL$53,MATCH(AI81,$DP$6:$DP$53,0))</f>
        <v>1</v>
      </c>
      <c r="AV81" s="182" t="str">
        <f ca="1">INDEX($BD$6:$BD$53,MATCH(AI81,$BM$6:$BM$53,0))</f>
        <v>Argelia</v>
      </c>
      <c r="AW81" s="210"/>
      <c r="AX81" s="171"/>
      <c r="AY81" s="205" t="str">
        <f ca="1">+A80</f>
        <v>Jordania</v>
      </c>
      <c r="AZ81" s="206"/>
      <c r="BA81" s="176"/>
      <c r="DN81" s="16"/>
    </row>
    <row r="82" spans="1:118" ht="16.14999999999999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14999999999999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149999999999999"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149999999999999"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48"/>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149999999999999"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48"/>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2</v>
      </c>
      <c r="AT86" s="41">
        <f t="shared" ca="1" si="269"/>
        <v>4</v>
      </c>
      <c r="AU86" s="330">
        <f ca="1">INDEX($DL$6:$DL$53,MATCH(AI86,$DP$6:$DP$53,0))</f>
        <v>1</v>
      </c>
      <c r="AV86" s="182" t="str">
        <f ca="1">INDEX($BD$6:$BD$53,MATCH(AI86,$BM$6:$BM$53,0))</f>
        <v>Portugal</v>
      </c>
      <c r="AW86" s="210"/>
      <c r="AX86" s="171"/>
      <c r="AY86" s="201" t="str">
        <f ca="1">+A85</f>
        <v>Portugal</v>
      </c>
      <c r="AZ86" s="202"/>
      <c r="BA86" s="176"/>
      <c r="DN86" s="16"/>
    </row>
    <row r="87" spans="1:118" ht="16.149999999999999"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48"/>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7</v>
      </c>
      <c r="AS87" s="39">
        <f t="shared" ca="1" si="269"/>
        <v>4</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149999999999999"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48"/>
      <c r="X88" s="24">
        <f ca="1">Horarios!C88</f>
        <v>46201.0625</v>
      </c>
      <c r="Y88" s="25">
        <f ca="1">Horarios!C88</f>
        <v>46201.0625</v>
      </c>
      <c r="Z88" s="26" t="str">
        <f>$Z$8</f>
        <v>J3</v>
      </c>
      <c r="AA88" s="27" t="str">
        <f ca="1">A88</f>
        <v>Colombia</v>
      </c>
      <c r="AB88" s="49" t="e" cm="1" vm="45">
        <f t="array" aca="1" ref="AB88" ca="1">Ver_flag_local</f>
        <v>#VALUE!</v>
      </c>
      <c r="AC88" s="50">
        <v>2</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3</v>
      </c>
      <c r="AS88" s="39">
        <f t="shared" ca="1" si="269"/>
        <v>5</v>
      </c>
      <c r="AT88" s="43">
        <f t="shared" ca="1" si="269"/>
        <v>-2</v>
      </c>
      <c r="AU88" s="330">
        <f ca="1">INDEX($DL$6:$DL$53,MATCH(AI88,$DP$6:$DP$53,0))</f>
        <v>1</v>
      </c>
      <c r="AV88" s="182" t="str">
        <f ca="1">INDEX($BD$6:$BD$53,MATCH(AI88,$BM$6:$BM$53,0))</f>
        <v>RD Congo</v>
      </c>
      <c r="AW88" s="210"/>
      <c r="AX88" s="171"/>
      <c r="AY88" s="201" t="str">
        <f ca="1">+A87</f>
        <v>Uzbekistán</v>
      </c>
      <c r="AZ88" s="202"/>
      <c r="BA88" s="176"/>
    </row>
    <row r="89" spans="1:118" ht="16.149999999999999"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e" cm="1" vm="43">
        <f t="array" aca="1" ref="AB89" ca="1">Ver_flag_local</f>
        <v>#VALUE!</v>
      </c>
      <c r="AC89" s="53">
        <v>2</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7</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6.14999999999999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14999999999999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149999999999999"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e" cm="1" vm="46">
        <f t="array" aca="1" ref="AB92" ca="1">Ver_flag_local</f>
        <v>#VALUE!</v>
      </c>
      <c r="AC92" s="50">
        <v>3</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149999999999999"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e" cm="1" vm="48">
        <f t="array" aca="1" ref="AB93" ca="1">Ver_flag_local</f>
        <v>#VALUE!</v>
      </c>
      <c r="AC93" s="50">
        <v>2</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149999999999999"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2</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149999999999999"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3</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149999999999999"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e" cm="1" vm="49">
        <f t="array" aca="1" ref="AB96" ca="1">Ver_flag_local</f>
        <v>#VALUE!</v>
      </c>
      <c r="AC96" s="50">
        <v>1</v>
      </c>
      <c r="AD96" s="51">
        <v>3</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3</v>
      </c>
      <c r="AT96" s="43">
        <f t="shared" ca="1" si="287"/>
        <v>-1</v>
      </c>
      <c r="AU96" s="330">
        <f ca="1">INDEX($DL$6:$DL$53,MATCH(AI96,$DP$6:$DP$53,0))</f>
        <v>1</v>
      </c>
      <c r="AV96" s="182" t="str">
        <f ca="1">INDEX($BD$6:$BD$53,MATCH(AI96,$BM$6:$BM$53,0))</f>
        <v>Ghana</v>
      </c>
      <c r="AW96" s="210"/>
      <c r="AX96" s="171"/>
      <c r="AY96" s="201" t="str">
        <f ca="1">+A95</f>
        <v>Ghana</v>
      </c>
      <c r="AZ96" s="202"/>
      <c r="BA96" s="176"/>
    </row>
    <row r="97" spans="1:62" ht="16.149999999999999"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e" cm="1" vm="47">
        <f t="array" aca="1" ref="AB97" ca="1">Ver_flag_local</f>
        <v>#VALUE!</v>
      </c>
      <c r="AC97" s="53">
        <v>2</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149999999999999"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149999999999999"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México</v>
      </c>
      <c r="AB101" s="89"/>
      <c r="AC101" s="51">
        <v>2</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CDFGHIKL</v>
      </c>
      <c r="BA101" s="176"/>
    </row>
    <row r="102" spans="1:62" ht="16.149999999999999"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Países Bajos</v>
      </c>
      <c r="AG102" s="327">
        <f t="shared" ca="1" si="294"/>
        <v>1</v>
      </c>
      <c r="AH102" s="195">
        <v>76</v>
      </c>
      <c r="AI102" s="182">
        <v>1</v>
      </c>
      <c r="AJ102" s="80">
        <v>1</v>
      </c>
      <c r="AK102" s="605" t="e" cm="1" vm="35">
        <f t="array" aca="1" ref="AK102" ca="1">Ver_flag_visit</f>
        <v>#VALUE!</v>
      </c>
      <c r="AL102" s="81" t="str">
        <f t="shared" ref="AL102:AL113" ca="1" si="297">+IF($H$113&gt;=48,INDEX($BD$58:$BD$69,MATCH(AI102,$BN$58:$BN$69,0)),BB58)</f>
        <v>Senegal</v>
      </c>
      <c r="AM102" s="588">
        <f ca="1">+IF($H$113&gt;=48,INDEX($BE$58:$BN$69,MATCH($AL102,$BD$58:$BD$69,0),MATCH(AM$5,$BE$57:$BN$57,0)),$BB58)</f>
        <v>3</v>
      </c>
      <c r="AN102" s="82">
        <f ca="1">+IF($H$113&gt;=48,INDEX($BE$58:$BN$69,MATCH($AL102,$BD$58:$BD$69,0),MATCH(AN$5,$BE$57:$BN$57,0)),$BB58)</f>
        <v>3</v>
      </c>
      <c r="AO102" s="82">
        <f t="shared" ref="AO102:AT102" ca="1" si="298">+IF($H$113&gt;=48,INDEX($BE$58:$BN$69,MATCH($AL102,$BD$58:$BD$69,0),MATCH(AO$5,$BE$57:$BN$57,0)),$BB58)</f>
        <v>1</v>
      </c>
      <c r="AP102" s="82">
        <f t="shared" ca="1" si="298"/>
        <v>0</v>
      </c>
      <c r="AQ102" s="83">
        <f t="shared" ca="1" si="298"/>
        <v>2</v>
      </c>
      <c r="AR102" s="83">
        <f t="shared" ca="1" si="298"/>
        <v>4</v>
      </c>
      <c r="AS102" s="83">
        <f t="shared" ca="1" si="298"/>
        <v>4</v>
      </c>
      <c r="AT102" s="84">
        <f t="shared" ca="1" si="298"/>
        <v>0</v>
      </c>
      <c r="AU102" s="330">
        <f t="shared" ref="AU102:AU113" ca="1" si="299">IF($H$113=144,INDEX($DL$58:$DL$69,MATCH(AI102,$DP$58:$DP$69,0)),"")</f>
        <v>1</v>
      </c>
      <c r="AV102" s="182" t="str">
        <f t="shared" ref="AV102:AV113" ca="1" si="300">INDEX($BD$58:$BD$69,MATCH(AI102,$BM$58:$BM$69,0))</f>
        <v>Senegal</v>
      </c>
      <c r="AW102" s="215"/>
      <c r="AX102" s="170"/>
      <c r="AY102" s="154"/>
      <c r="AZ102" s="155"/>
      <c r="BA102" s="176"/>
      <c r="BE102" t="s">
        <v>454</v>
      </c>
      <c r="BF102" t="s">
        <v>731</v>
      </c>
      <c r="BG102" t="s">
        <v>776</v>
      </c>
      <c r="BI102" t="s">
        <v>86</v>
      </c>
    </row>
    <row r="103" spans="1:62" ht="16.149999999999999"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e" cm="1" vm="27">
        <f t="array" aca="1" ref="AK103" ca="1">Ver_flag_visit</f>
        <v>#VALUE!</v>
      </c>
      <c r="AL103" s="85" t="str">
        <f t="shared" ca="1" si="297"/>
        <v>Egipto</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5</v>
      </c>
      <c r="AS103" s="86">
        <f t="shared" ca="1" si="302"/>
        <v>6</v>
      </c>
      <c r="AT103" s="87">
        <f t="shared" ca="1" si="302"/>
        <v>-1</v>
      </c>
      <c r="AU103" s="330">
        <f t="shared" ca="1" si="299"/>
        <v>1</v>
      </c>
      <c r="AV103" s="182" t="str">
        <f t="shared" ca="1" si="300"/>
        <v>Egipto</v>
      </c>
      <c r="AW103" s="215"/>
      <c r="AX103" s="170"/>
      <c r="AY103" s="276"/>
      <c r="AZ103" s="279" t="str">
        <f t="shared" ref="AZ103:AZ110" ca="1" si="303">+IF(OR($H$113&gt;=48,$AJ$99=144),BF117&amp;" - "&amp;BG117,"")</f>
        <v>1A - 3C</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C</v>
      </c>
    </row>
    <row r="104" spans="1:62" ht="16.149999999999999"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50"/>
      <c r="X104" s="24">
        <f ca="1">Horarios!C104</f>
        <v>46203.125</v>
      </c>
      <c r="Y104" s="25">
        <f ca="1">Horarios!C104</f>
        <v>46203.125</v>
      </c>
      <c r="Z104" s="280">
        <f t="shared" si="296"/>
        <v>75</v>
      </c>
      <c r="AA104" s="88" t="str">
        <f t="shared" ca="1" si="292"/>
        <v>Japón</v>
      </c>
      <c r="AB104" s="89"/>
      <c r="AC104" s="92">
        <v>1</v>
      </c>
      <c r="AD104" s="92">
        <v>2</v>
      </c>
      <c r="AE104" s="89"/>
      <c r="AF104" s="91" t="str">
        <f t="shared" ca="1" si="293"/>
        <v>Marruecos</v>
      </c>
      <c r="AG104" s="327">
        <f t="shared" ca="1" si="294"/>
        <v>1</v>
      </c>
      <c r="AH104" s="195">
        <v>75</v>
      </c>
      <c r="AI104" s="182">
        <v>3</v>
      </c>
      <c r="AJ104" s="42">
        <v>3</v>
      </c>
      <c r="AK104" s="602" t="e" cm="1" vm="24">
        <f t="array" aca="1" ref="AK104" ca="1">Ver_flag_visit</f>
        <v>#VALUE!</v>
      </c>
      <c r="AL104" s="85" t="str">
        <f t="shared" ca="1" si="297"/>
        <v>Suecia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3</v>
      </c>
      <c r="AS104" s="86">
        <f t="shared" ca="1" si="307"/>
        <v>4</v>
      </c>
      <c r="AT104" s="87">
        <f t="shared" ca="1" si="307"/>
        <v>-1</v>
      </c>
      <c r="AU104" s="330">
        <f t="shared" ca="1" si="299"/>
        <v>1</v>
      </c>
      <c r="AV104" s="182" t="str">
        <f t="shared" ca="1" si="300"/>
        <v>Suecia</v>
      </c>
      <c r="AW104" s="215"/>
      <c r="AX104" s="170"/>
      <c r="AY104" s="276"/>
      <c r="AZ104" s="279" t="str">
        <f t="shared" ca="1" si="303"/>
        <v>1B - 3G</v>
      </c>
      <c r="BA104" s="176"/>
      <c r="BF104" t="str">
        <f t="shared" ca="1" si="304"/>
        <v>G</v>
      </c>
      <c r="BG104">
        <f t="shared" ca="1" si="305"/>
        <v>4</v>
      </c>
      <c r="BI104">
        <v>2</v>
      </c>
      <c r="BJ104" t="str">
        <f t="shared" ca="1" si="306"/>
        <v>D</v>
      </c>
    </row>
    <row r="105" spans="1:62" ht="16.149999999999999"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Ecuador</v>
      </c>
      <c r="AB105" s="89"/>
      <c r="AC105" s="92">
        <v>0</v>
      </c>
      <c r="AD105" s="92">
        <v>2</v>
      </c>
      <c r="AE105" s="89"/>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2</v>
      </c>
      <c r="AS105" s="86">
        <f t="shared" ca="1" si="308"/>
        <v>3</v>
      </c>
      <c r="AT105" s="87">
        <f t="shared" ca="1" si="308"/>
        <v>-1</v>
      </c>
      <c r="AU105" s="330">
        <f t="shared" ca="1" si="299"/>
        <v>1</v>
      </c>
      <c r="AV105" s="182" t="str">
        <f t="shared" ca="1" si="300"/>
        <v>Ghana</v>
      </c>
      <c r="AW105" s="215"/>
      <c r="AX105" s="170"/>
      <c r="AY105" s="276"/>
      <c r="AZ105" s="279" t="str">
        <f t="shared" ca="1" si="303"/>
        <v>1D - 3I</v>
      </c>
      <c r="BA105" s="176"/>
      <c r="BF105" t="str">
        <f t="shared" ca="1" si="304"/>
        <v>F</v>
      </c>
      <c r="BG105">
        <f t="shared" ca="1" si="305"/>
        <v>3</v>
      </c>
      <c r="BI105">
        <v>3</v>
      </c>
      <c r="BJ105" t="str">
        <f t="shared" ca="1" si="306"/>
        <v>F</v>
      </c>
    </row>
    <row r="106" spans="1:62" ht="16.149999999999999"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Suecia</v>
      </c>
      <c r="AG106" s="327">
        <f t="shared" ca="1" si="294"/>
        <v>1</v>
      </c>
      <c r="AH106" s="195">
        <v>77</v>
      </c>
      <c r="AI106" s="182">
        <v>5</v>
      </c>
      <c r="AJ106" s="42">
        <v>5</v>
      </c>
      <c r="AK106" s="602" t="e" cm="1" vm="43">
        <f t="array" aca="1" ref="AK106" ca="1">Ver_flag_visit</f>
        <v>#VALUE!</v>
      </c>
      <c r="AL106" s="85" t="str">
        <f t="shared" ca="1" si="297"/>
        <v>RD Congo</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5</v>
      </c>
      <c r="AT106" s="87">
        <f t="shared" ca="1" si="309"/>
        <v>-2</v>
      </c>
      <c r="AU106" s="330">
        <f t="shared" ca="1" si="299"/>
        <v>2</v>
      </c>
      <c r="AV106" s="182" t="str">
        <f t="shared" ca="1" si="300"/>
        <v>Arabia Saudita</v>
      </c>
      <c r="AW106" s="215">
        <v>6</v>
      </c>
      <c r="AX106" s="170"/>
      <c r="AY106" s="276"/>
      <c r="AZ106" s="279" t="str">
        <f t="shared" ca="1" si="303"/>
        <v>1E - 3D</v>
      </c>
      <c r="BA106" s="176"/>
      <c r="BF106" t="str">
        <f t="shared" ca="1" si="304"/>
        <v>L</v>
      </c>
      <c r="BG106">
        <f t="shared" ca="1" si="305"/>
        <v>8</v>
      </c>
      <c r="BI106">
        <v>4</v>
      </c>
      <c r="BJ106" t="str">
        <f t="shared" ca="1" si="306"/>
        <v>G</v>
      </c>
    </row>
    <row r="107" spans="1:62" ht="16.149999999999999" customHeight="1">
      <c r="A107" s="16" t="s">
        <v>657</v>
      </c>
      <c r="B107" s="16" t="s">
        <v>736</v>
      </c>
      <c r="C107" s="16"/>
      <c r="D107" s="16" t="str">
        <f t="shared" ca="1" si="289"/>
        <v>Corea del Sur</v>
      </c>
      <c r="E107" s="16" t="s">
        <v>0</v>
      </c>
      <c r="F107" s="16" t="s">
        <v>733</v>
      </c>
      <c r="G107" s="16" t="s">
        <v>6</v>
      </c>
      <c r="H107" s="16">
        <f t="shared" ca="1" si="290"/>
        <v>12</v>
      </c>
      <c r="I107" s="16"/>
      <c r="J107" s="16">
        <v>79</v>
      </c>
      <c r="K107" s="16">
        <v>46203.75</v>
      </c>
      <c r="L107" s="16" t="s">
        <v>703</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0"/>
      <c r="X107" s="24">
        <f ca="1">Horarios!C107</f>
        <v>46204.125</v>
      </c>
      <c r="Y107" s="25">
        <f ca="1">Horarios!C107</f>
        <v>46204.125</v>
      </c>
      <c r="Z107" s="280">
        <f t="shared" si="296"/>
        <v>79</v>
      </c>
      <c r="AA107" s="88" t="str">
        <f t="shared" ca="1" si="292"/>
        <v>Corea del Sur</v>
      </c>
      <c r="AB107" s="89"/>
      <c r="AC107" s="92">
        <v>2</v>
      </c>
      <c r="AD107" s="92">
        <v>0</v>
      </c>
      <c r="AE107" s="89"/>
      <c r="AF107" s="91" t="str">
        <f t="shared" ca="1" si="293"/>
        <v>Escocia</v>
      </c>
      <c r="AG107" s="327">
        <f t="shared" ca="1" si="294"/>
        <v>1</v>
      </c>
      <c r="AH107" s="195">
        <v>79</v>
      </c>
      <c r="AI107" s="182">
        <v>6</v>
      </c>
      <c r="AJ107" s="42">
        <v>6</v>
      </c>
      <c r="AK107" s="602" t="e" cm="1" vm="32">
        <f t="array" aca="1" ref="AK107" ca="1">Ver_flag_visit</f>
        <v>#VALUE!</v>
      </c>
      <c r="AL107" s="85" t="str">
        <f t="shared" ca="1" si="297"/>
        <v>Arabia Saudita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5</v>
      </c>
      <c r="AT107" s="87">
        <f t="shared" ca="1" si="310"/>
        <v>-2</v>
      </c>
      <c r="AU107" s="330">
        <f t="shared" ca="1" si="299"/>
        <v>2</v>
      </c>
      <c r="AV107" s="182" t="str">
        <f ca="1">INDEX($BD$58:$BD$69,MATCH(AI107,$BM$58:$BM$69,0))</f>
        <v>RD Congo</v>
      </c>
      <c r="AW107" s="215">
        <v>5</v>
      </c>
      <c r="AX107" s="170"/>
      <c r="AY107" s="276"/>
      <c r="AZ107" s="279" t="str">
        <f t="shared" ca="1" si="303"/>
        <v>1G - 3H</v>
      </c>
      <c r="BA107" s="176"/>
      <c r="BF107" t="str">
        <f t="shared" ca="1" si="304"/>
        <v>K</v>
      </c>
      <c r="BG107">
        <f t="shared" ca="1" si="305"/>
        <v>7</v>
      </c>
      <c r="BI107">
        <v>5</v>
      </c>
      <c r="BJ107" t="str">
        <f t="shared" ca="1" si="306"/>
        <v>H</v>
      </c>
    </row>
    <row r="108" spans="1:62" ht="16.149999999999999"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3</v>
      </c>
      <c r="AD108" s="92">
        <v>0</v>
      </c>
      <c r="AE108" s="89"/>
      <c r="AF108" s="91" t="str">
        <f t="shared" ca="1" si="293"/>
        <v>RD Congo</v>
      </c>
      <c r="AG108" s="327">
        <f t="shared" ca="1" si="294"/>
        <v>1</v>
      </c>
      <c r="AH108" s="195">
        <v>80</v>
      </c>
      <c r="AI108" s="182">
        <v>7</v>
      </c>
      <c r="AJ108" s="42">
        <v>7</v>
      </c>
      <c r="AK108" s="602" t="e" cm="1" vm="15">
        <f t="array" aca="1" ref="AK108" ca="1">Ver_flag_visit</f>
        <v>#VALUE!</v>
      </c>
      <c r="AL108" s="85" t="str">
        <f t="shared" ca="1" si="297"/>
        <v>Paraguay</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7</v>
      </c>
      <c r="AT108" s="87">
        <f t="shared" ca="1" si="311"/>
        <v>-3</v>
      </c>
      <c r="AU108" s="330">
        <f t="shared" ca="1" si="299"/>
        <v>2</v>
      </c>
      <c r="AV108" s="182" t="str">
        <f t="shared" ca="1" si="300"/>
        <v>Escocia</v>
      </c>
      <c r="AW108" s="215">
        <v>8</v>
      </c>
      <c r="AX108" s="170"/>
      <c r="AY108" s="276"/>
      <c r="AZ108" s="279" t="str">
        <f t="shared" ca="1" si="303"/>
        <v>1I - 3F</v>
      </c>
      <c r="BA108" s="176"/>
      <c r="BF108" t="str">
        <f t="shared" ca="1" si="304"/>
        <v>H</v>
      </c>
      <c r="BG108">
        <f t="shared" ca="1" si="305"/>
        <v>5</v>
      </c>
      <c r="BI108">
        <v>6</v>
      </c>
      <c r="BJ108" t="str">
        <f t="shared" ca="1" si="306"/>
        <v>I</v>
      </c>
    </row>
    <row r="109" spans="1:62" ht="16.149999999999999"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Arabia Saudita</v>
      </c>
      <c r="AG109" s="327">
        <f t="shared" ca="1" si="294"/>
        <v>1</v>
      </c>
      <c r="AH109" s="195">
        <v>82</v>
      </c>
      <c r="AI109" s="182">
        <v>8</v>
      </c>
      <c r="AJ109" s="42">
        <v>8</v>
      </c>
      <c r="AK109" s="602" t="e" cm="1" vm="13">
        <f t="array" aca="1" ref="AK109" ca="1">Ver_flag_visit</f>
        <v>#VALUE!</v>
      </c>
      <c r="AL109" s="85" t="str">
        <f t="shared" ca="1" si="297"/>
        <v>Escocia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7</v>
      </c>
      <c r="AT109" s="87">
        <f t="shared" ca="1" si="312"/>
        <v>-3</v>
      </c>
      <c r="AU109" s="330">
        <f t="shared" ca="1" si="299"/>
        <v>2</v>
      </c>
      <c r="AV109" s="182" t="str">
        <f t="shared" ca="1" si="300"/>
        <v>Paraguay</v>
      </c>
      <c r="AW109" s="215">
        <v>7</v>
      </c>
      <c r="AX109" s="170"/>
      <c r="AY109" s="276"/>
      <c r="AZ109" s="279" t="str">
        <f t="shared" ca="1" si="303"/>
        <v>1K - 3L</v>
      </c>
      <c r="BA109" s="176"/>
      <c r="BF109" t="str">
        <f t="shared" ca="1" si="304"/>
        <v>D</v>
      </c>
      <c r="BG109">
        <f t="shared" ca="1" si="305"/>
        <v>2</v>
      </c>
      <c r="BI109">
        <v>7</v>
      </c>
      <c r="BJ109" t="str">
        <f t="shared" ca="1" si="306"/>
        <v>K</v>
      </c>
    </row>
    <row r="110" spans="1:62" ht="16.149999999999999"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Turquía</v>
      </c>
      <c r="AB110" s="89"/>
      <c r="AC110" s="92">
        <v>3</v>
      </c>
      <c r="AD110" s="92">
        <v>0</v>
      </c>
      <c r="AE110" s="89"/>
      <c r="AF110" s="91" t="str">
        <f t="shared" ca="1" si="293"/>
        <v>Senegal</v>
      </c>
      <c r="AG110" s="327">
        <f t="shared" ca="1" si="294"/>
        <v>1</v>
      </c>
      <c r="AH110" s="195">
        <v>81</v>
      </c>
      <c r="AI110" s="182">
        <v>9</v>
      </c>
      <c r="AJ110" s="42">
        <v>9</v>
      </c>
      <c r="AK110" s="602" t="e" cm="1" vm="20">
        <f t="array" aca="1" ref="AK110" ca="1">Ver_flag_visit</f>
        <v>#VALUE!</v>
      </c>
      <c r="AL110" s="85" t="str">
        <f t="shared" ca="1" si="297"/>
        <v>Costa de Marfil</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5</v>
      </c>
      <c r="AT110" s="87">
        <f t="shared" ca="1" si="313"/>
        <v>-3</v>
      </c>
      <c r="AU110" s="330">
        <f t="shared" ca="1" si="299"/>
        <v>1</v>
      </c>
      <c r="AV110" s="182" t="str">
        <f t="shared" ca="1" si="300"/>
        <v>Costa de Marfil</v>
      </c>
      <c r="AW110" s="215"/>
      <c r="AX110" s="170"/>
      <c r="AY110" s="276"/>
      <c r="AZ110" s="279" t="str">
        <f t="shared" ca="1" si="303"/>
        <v>1L - 3K</v>
      </c>
      <c r="BA110" s="176"/>
      <c r="BF110" t="str">
        <f t="shared" ca="1" si="304"/>
        <v>C</v>
      </c>
      <c r="BG110">
        <f t="shared" ca="1" si="305"/>
        <v>1</v>
      </c>
      <c r="BI110">
        <v>8</v>
      </c>
      <c r="BJ110" t="str">
        <f t="shared" ca="1" si="306"/>
        <v>L</v>
      </c>
    </row>
    <row r="111" spans="1:62" ht="16.149999999999999"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1">
        <f t="array" aca="1" ref="AK111" ca="1">Ver_flag_visit</f>
        <v>#VALUE!</v>
      </c>
      <c r="AL111" s="85" t="str">
        <f t="shared" ca="1" si="297"/>
        <v>Jordania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1</v>
      </c>
      <c r="AS111" s="86">
        <f t="shared" ca="1" si="314"/>
        <v>7</v>
      </c>
      <c r="AT111" s="87">
        <f t="shared" ca="1" si="314"/>
        <v>-6</v>
      </c>
      <c r="AU111" s="330">
        <f t="shared" ca="1" si="299"/>
        <v>1</v>
      </c>
      <c r="AV111" s="182" t="str">
        <f t="shared" ca="1" si="300"/>
        <v>Jordania</v>
      </c>
      <c r="AW111" s="215"/>
      <c r="AX111" s="170"/>
      <c r="AY111" s="275"/>
      <c r="AZ111" s="275"/>
      <c r="BA111" s="176"/>
      <c r="BI111" t="s">
        <v>87</v>
      </c>
    </row>
    <row r="112" spans="1:62" ht="16.149999999999999"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Colombia</v>
      </c>
      <c r="AB112" s="89"/>
      <c r="AC112" s="92">
        <v>3</v>
      </c>
      <c r="AD112" s="92">
        <v>1</v>
      </c>
      <c r="AE112" s="89"/>
      <c r="AF112" s="91" t="str">
        <f t="shared" ca="1" si="293"/>
        <v>Croacia</v>
      </c>
      <c r="AG112" s="327">
        <f t="shared" ca="1" si="294"/>
        <v>1</v>
      </c>
      <c r="AH112" s="195">
        <v>83</v>
      </c>
      <c r="AI112" s="182">
        <v>11</v>
      </c>
      <c r="AJ112" s="42">
        <v>11</v>
      </c>
      <c r="AK112" s="602" t="e" cm="1" vm="4">
        <f t="array" aca="1" ref="AK112" ca="1">Ver_flag_visit</f>
        <v>#VALUE!</v>
      </c>
      <c r="AL112" s="85" t="str">
        <f t="shared" ca="1" si="297"/>
        <v>República Checa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3</v>
      </c>
      <c r="AS112" s="86">
        <f t="shared" ca="1" si="315"/>
        <v>5</v>
      </c>
      <c r="AT112" s="87">
        <f t="shared" ca="1" si="315"/>
        <v>-2</v>
      </c>
      <c r="AU112" s="330">
        <f t="shared" ca="1" si="299"/>
        <v>2</v>
      </c>
      <c r="AV112" s="182" t="str">
        <f t="shared" ca="1" si="300"/>
        <v>Catar</v>
      </c>
      <c r="AW112" s="215">
        <v>12</v>
      </c>
      <c r="AX112" s="170"/>
      <c r="AY112" s="275"/>
      <c r="AZ112" s="275"/>
      <c r="BA112" s="176"/>
      <c r="BI112" t="str">
        <f ca="1">IFERROR(CONCATENATE(BJ103,BJ104,BJ105,BJ106,BJ107,BJ108,BJ109,BJ110),"¿A/B/C/D/E/F/G/H/I/J/K/L?")</f>
        <v>CDFGHIKL</v>
      </c>
    </row>
    <row r="113" spans="1:59" ht="16.149999999999999"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Egipto</v>
      </c>
      <c r="AG113" s="327">
        <f t="shared" ca="1" si="294"/>
        <v>1</v>
      </c>
      <c r="AH113" s="195">
        <v>85</v>
      </c>
      <c r="AI113" s="182">
        <v>12</v>
      </c>
      <c r="AJ113" s="44">
        <v>12</v>
      </c>
      <c r="AK113" s="604" t="e" cm="1" vm="7">
        <f t="array" aca="1" ref="AK113" ca="1">Ver_flag_visit</f>
        <v>#VALUE!</v>
      </c>
      <c r="AL113" s="45" t="str">
        <f t="shared" ca="1" si="297"/>
        <v>Catar</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5</v>
      </c>
      <c r="AT113" s="48">
        <f t="shared" ca="1" si="316"/>
        <v>-2</v>
      </c>
      <c r="AU113" s="330">
        <f t="shared" ca="1" si="299"/>
        <v>2</v>
      </c>
      <c r="AV113" s="182" t="str">
        <f t="shared" ca="1" si="300"/>
        <v>República Checa</v>
      </c>
      <c r="AW113" s="215">
        <v>11</v>
      </c>
      <c r="AX113" s="170"/>
      <c r="AY113" s="154"/>
      <c r="AZ113" s="155"/>
      <c r="BA113" s="176"/>
    </row>
    <row r="114" spans="1:59" ht="16.149999999999999" customHeight="1">
      <c r="A114" s="16" t="s">
        <v>688</v>
      </c>
      <c r="B114" s="16" t="s">
        <v>683</v>
      </c>
      <c r="C114" s="16"/>
      <c r="D114" s="16" t="str">
        <f t="shared" ca="1" si="289"/>
        <v>Irán</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Estados Unidos</v>
      </c>
      <c r="AB114" s="89"/>
      <c r="AC114" s="92">
        <v>1</v>
      </c>
      <c r="AD114" s="92">
        <v>2</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149999999999999"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3</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149999999999999"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14999999999999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3C</v>
      </c>
    </row>
    <row r="118" spans="1:59" ht="16.14999999999999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3G</v>
      </c>
    </row>
    <row r="119" spans="1:59" ht="16.14999999999999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3I</v>
      </c>
    </row>
    <row r="120" spans="1:59" ht="16.149999999999999"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3D</v>
      </c>
    </row>
    <row r="121" spans="1:59" ht="16.149999999999999"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México</v>
      </c>
      <c r="N121" s="16" t="str">
        <f t="shared" ca="1" si="318"/>
        <v>Marruecos</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3H</v>
      </c>
    </row>
    <row r="122" spans="1:59" ht="16.149999999999999" customHeight="1">
      <c r="A122" s="16" t="s">
        <v>746</v>
      </c>
      <c r="B122" s="16" t="s">
        <v>747</v>
      </c>
      <c r="C122" s="16"/>
      <c r="D122" s="16" t="str">
        <f t="shared" ca="1" si="317"/>
        <v>Noruega</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Brasil</v>
      </c>
      <c r="AB122" s="89"/>
      <c r="AC122" s="97">
        <v>2</v>
      </c>
      <c r="AD122" s="97">
        <v>3</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3F</v>
      </c>
    </row>
    <row r="123" spans="1:59" ht="16.149999999999999"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Corea del Sur</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Corea del Sur</v>
      </c>
      <c r="AB123" s="89"/>
      <c r="AC123" s="97">
        <v>1</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3L</v>
      </c>
    </row>
    <row r="124" spans="1:59" ht="16.149999999999999"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Colombia</v>
      </c>
      <c r="AB124" s="98"/>
      <c r="AC124" s="97">
        <v>2</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3K</v>
      </c>
    </row>
    <row r="125" spans="1:59" ht="16.149999999999999" customHeight="1">
      <c r="A125" s="16" t="s">
        <v>752</v>
      </c>
      <c r="B125" s="16" t="s">
        <v>753</v>
      </c>
      <c r="C125" s="16"/>
      <c r="D125" s="16" t="str">
        <f t="shared" ca="1" si="317"/>
        <v>Turquía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Turquía</v>
      </c>
      <c r="AB125" s="89"/>
      <c r="AC125" s="99">
        <v>2</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149999999999999"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Irán</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2</v>
      </c>
      <c r="AD126" s="99">
        <v>1</v>
      </c>
      <c r="AE126" s="89"/>
      <c r="AF126" s="91" t="str">
        <f t="shared" ca="1" si="321"/>
        <v>Irán</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149999999999999"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Suiza</v>
      </c>
      <c r="AB127" s="94">
        <v>3</v>
      </c>
      <c r="AC127" s="100">
        <v>1</v>
      </c>
      <c r="AD127" s="100">
        <v>1</v>
      </c>
      <c r="AE127" s="94">
        <v>4</v>
      </c>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14999999999999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14999999999999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14999999999999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149999999999999"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149999999999999" customHeight="1">
      <c r="A132" s="16" t="s">
        <v>760</v>
      </c>
      <c r="B132" s="16" t="s">
        <v>761</v>
      </c>
      <c r="C132" s="16"/>
      <c r="D132" s="16" t="str">
        <f ca="1">IF(AND(OR(AC132="",AD132="")),"W"&amp;AH132,IF(AC132&gt;AD132,AA132,IF(AC132&lt;AD132,AF132,IF(AND(AC132=AD132,AB132=AE132),"W"&amp;AH132,IF(AND(AC132=AD132,OR(AB132="",AE132="")),"W"&amp;AH132,IF(AND(AC132=AD132,AB132&gt;AE132),AA132,AF132))))))</f>
        <v>Turquía</v>
      </c>
      <c r="E132" s="16">
        <v>93</v>
      </c>
      <c r="F132" s="16">
        <v>94</v>
      </c>
      <c r="G132" s="16"/>
      <c r="H132" s="16"/>
      <c r="I132" s="16"/>
      <c r="J132" s="16">
        <v>98</v>
      </c>
      <c r="K132" s="16">
        <v>46213.875</v>
      </c>
      <c r="L132" s="16" t="s">
        <v>722</v>
      </c>
      <c r="M132" s="16" t="str">
        <f t="shared" ca="1" si="323"/>
        <v>España</v>
      </c>
      <c r="N132" s="16" t="str">
        <f t="shared" ca="1" si="323"/>
        <v>Turquía</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c r="AC132" s="99">
        <v>0</v>
      </c>
      <c r="AD132" s="99">
        <v>1</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149999999999999"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Noruega</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Noruega</v>
      </c>
      <c r="AB133" s="89"/>
      <c r="AC133" s="99">
        <v>0</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149999999999999" customHeight="1" thickBot="1">
      <c r="A134" s="16" t="s">
        <v>764</v>
      </c>
      <c r="B134" s="16" t="s">
        <v>765</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14999999999999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149999999999999"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149999999999999"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149999999999999"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Turquía</v>
      </c>
      <c r="I138" s="16"/>
      <c r="J138" s="16">
        <v>101</v>
      </c>
      <c r="K138" s="16">
        <v>46217.875</v>
      </c>
      <c r="L138" s="16" t="s">
        <v>725</v>
      </c>
      <c r="M138" s="16" t="str">
        <f ca="1">+INDEX($D$101:$D$147,MATCH(E138,$AH$101:$AH$147,0))</f>
        <v>Francia</v>
      </c>
      <c r="N138" s="16" t="str">
        <f ca="1">+INDEX($D$101:$D$147,MATCH(F138,$AH$101:$AH$147,0))</f>
        <v>Turquía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Francia</v>
      </c>
      <c r="AB138" s="89"/>
      <c r="AC138" s="101">
        <v>3</v>
      </c>
      <c r="AD138" s="101">
        <v>2</v>
      </c>
      <c r="AE138" s="89"/>
      <c r="AF138" s="116" t="str">
        <f ca="1">+INDEX($N$101:$N$147,MATCH(AH138,$J$101:$J$147,0))</f>
        <v>Turquía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149999999999999" customHeight="1" thickBot="1">
      <c r="A139" s="16" t="s">
        <v>768</v>
      </c>
      <c r="B139" s="16" t="s">
        <v>769</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726</v>
      </c>
      <c r="M139" s="16" t="str">
        <f ca="1">+INDEX($D$101:$D$147,MATCH(E139,$AH$101:$AH$147,0))</f>
        <v>Inglaterra</v>
      </c>
      <c r="N139" s="16" t="str">
        <f ca="1">+INDEX($D$101:$D$147,MATCH(F139,$AH$101:$AH$147,0))</f>
        <v>Argentina</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Inglaterra</v>
      </c>
      <c r="AB139" s="140"/>
      <c r="AC139" s="100">
        <v>1</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14999999999999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14999999999999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14999999999999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149999999999999" customHeight="1" thickBot="1">
      <c r="A143" s="16" t="s">
        <v>770</v>
      </c>
      <c r="B143" s="16" t="s">
        <v>771</v>
      </c>
      <c r="C143" s="16"/>
      <c r="D143" s="16" t="str">
        <f ca="1">IF(AND(OR(AC143="",AD143="")),"W"&amp;AH143,IF(AC143&gt;AD143,AA143,IF(AC143&lt;AD143,AF143,IF(AND(AC143=AD143,AB143=AE143),"W"&amp;AH143,IF(AND(AC143=AD143,OR(AB143="",AE143="")),"W"&amp;AH143,IF(AND(AC143=AD143,AB143&gt;AE143),AA143,AF143))))))</f>
        <v>Turquía</v>
      </c>
      <c r="E143" s="16">
        <v>101</v>
      </c>
      <c r="F143" s="16">
        <v>102</v>
      </c>
      <c r="G143" s="16"/>
      <c r="H143" s="16"/>
      <c r="I143" s="16"/>
      <c r="J143" s="16">
        <v>103</v>
      </c>
      <c r="K143" s="16">
        <v>46221.875</v>
      </c>
      <c r="L143" s="16" t="s">
        <v>727</v>
      </c>
      <c r="M143" s="16" t="str">
        <f ca="1">+INDEX($D$101:$D$147,MATCH(E143,$AH$101:$AH$147,0))</f>
        <v>Francia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Turquía</v>
      </c>
      <c r="AB143" s="216"/>
      <c r="AC143" s="105">
        <v>4</v>
      </c>
      <c r="AD143" s="105">
        <v>2</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14999999999999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14999999999999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14999999999999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149999999999999" customHeight="1" thickBot="1">
      <c r="A147" s="16" t="s">
        <v>772</v>
      </c>
      <c r="B147" s="16" t="s">
        <v>773</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728</v>
      </c>
      <c r="M147" s="16" t="str">
        <f ca="1">+INDEX($D$101:$D$147,MATCH(E147,$AH$101:$AH$147,0))</f>
        <v>Francia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c r="AC147" s="105">
        <v>2</v>
      </c>
      <c r="AD147" s="105">
        <v>0</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14999999999999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14999999999999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14999999999999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14999999999999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14999999999999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Turquía</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14999999999999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14999999999999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14999999999999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14999999999999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14999999999999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14999999999999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14999999999999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14999999999999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89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1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30" t="str">
        <f>+Idiomas!D12</f>
        <v>Donar</v>
      </c>
      <c r="AP162" s="631"/>
      <c r="AQ162" s="145"/>
      <c r="AR162" s="145"/>
      <c r="AS162" s="145"/>
      <c r="AT162" s="145"/>
      <c r="AU162" s="332"/>
      <c r="AV162" s="193"/>
      <c r="AW162" s="155"/>
      <c r="AX162" s="154"/>
      <c r="AY162" s="156"/>
      <c r="AZ162" s="157"/>
      <c r="BA162" s="176"/>
    </row>
    <row r="163" spans="1:53" ht="28.1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14999999999999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14999999999999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163" zoomScaleNormal="100" workbookViewId="0">
      <selection activeCell="C5" sqref="C5:C258"/>
    </sheetView>
  </sheetViews>
  <sheetFormatPr baseColWidth="10" defaultColWidth="0" defaultRowHeight="15"/>
  <cols>
    <col min="1" max="1" width="10.7109375" style="13" customWidth="1"/>
    <col min="2" max="2" width="29.42578125" customWidth="1"/>
    <col min="3" max="3" width="35" customWidth="1"/>
    <col min="4" max="4" width="12.7109375" style="369" customWidth="1"/>
    <col min="5" max="8" width="10.7109375" style="369" customWidth="1"/>
    <col min="9" max="9" width="3.140625" style="369" customWidth="1"/>
    <col min="10" max="12" width="10.7109375" style="369" customWidth="1"/>
    <col min="13" max="13" width="3.7109375" style="369" customWidth="1"/>
    <col min="14" max="14" width="4.7109375" style="369" customWidth="1"/>
    <col min="15" max="15" width="4" customWidth="1"/>
    <col min="16" max="16" width="4.7109375" customWidth="1"/>
    <col min="17" max="16384" width="10.7109375" style="1" hidden="1"/>
  </cols>
  <sheetData>
    <row r="1" spans="1:14" ht="19.899999999999999"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899999999999999" customHeight="1" thickBot="1">
      <c r="A2" s="290"/>
      <c r="B2" s="291"/>
      <c r="C2" s="291"/>
      <c r="D2" s="368"/>
      <c r="E2" s="701"/>
      <c r="F2" s="701"/>
      <c r="G2" s="701"/>
      <c r="H2" s="701"/>
      <c r="I2" s="701"/>
      <c r="J2" s="701"/>
      <c r="K2" s="701"/>
      <c r="L2" s="701"/>
      <c r="M2" s="701"/>
      <c r="N2" s="701"/>
    </row>
    <row r="3" spans="1:14" ht="34.9"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149999999999999"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1|3-1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2|1-3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X|2-2</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2|0-3</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1|5-0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2|2-3</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521</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1|2-0</v>
      </c>
      <c r="D19" s="697"/>
      <c r="E19" s="370"/>
      <c r="F19" s="370"/>
      <c r="G19" s="370"/>
      <c r="H19" s="370"/>
      <c r="I19" s="381"/>
      <c r="J19" s="370"/>
      <c r="K19" s="370"/>
      <c r="L19" s="370"/>
      <c r="M19" s="379"/>
      <c r="N19" s="377"/>
    </row>
    <row r="20" spans="1:14" ht="15" customHeight="1">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1|2-1</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1|3-0</v>
      </c>
      <c r="D25" s="697"/>
      <c r="E25" s="370"/>
      <c r="F25" s="370"/>
      <c r="G25" s="370"/>
      <c r="H25" s="370"/>
      <c r="I25" s="381"/>
      <c r="J25" s="370"/>
      <c r="K25" s="370"/>
      <c r="L25" s="370"/>
      <c r="M25" s="379"/>
      <c r="N25" s="377"/>
    </row>
    <row r="26" spans="1:14" ht="15" customHeight="1">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1|3-1</v>
      </c>
      <c r="D28" s="697"/>
      <c r="E28" s="370"/>
      <c r="F28" s="370"/>
      <c r="G28" s="370"/>
      <c r="H28" s="370"/>
      <c r="I28" s="381"/>
      <c r="J28" s="370"/>
      <c r="K28" s="370"/>
      <c r="L28" s="370"/>
      <c r="M28" s="379"/>
      <c r="N28" s="377"/>
    </row>
    <row r="29" spans="1:14" ht="15" customHeight="1">
      <c r="A29" s="38" t="s">
        <v>1210</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2|1-2</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X|1-1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2|0-4</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1|5-0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1|4-1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1|3-1</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2|1-3</v>
      </c>
      <c r="D41" s="699"/>
      <c r="E41" s="370"/>
      <c r="F41" s="370"/>
      <c r="G41" s="370"/>
      <c r="H41" s="370"/>
      <c r="I41" s="381"/>
      <c r="J41" s="370"/>
      <c r="K41" s="370"/>
      <c r="L41" s="370"/>
      <c r="M41" s="379"/>
      <c r="N41" s="377"/>
    </row>
    <row r="42" spans="1:14" ht="15" customHeight="1">
      <c r="A42" s="355" t="s">
        <v>522</v>
      </c>
      <c r="B42" s="356" t="str">
        <f ca="1">CONCATENATE(WORLDCUP!AA54,"-",WORLDCUP!AF54)</f>
        <v>Bélgica-Irán</v>
      </c>
      <c r="C42" s="349" t="str">
        <f>CONCATENATE(IF(WORLDCUP!AC54&gt;WORLDCUP!AD54,1,IF(WORLDCUP!AC54&lt;WORLDCUP!AD54,2,IF(AND(WORLDCUP!AC54=WORLDCUP!AD54,WORLDCUP!AC54&lt;&gt;"",WORLDCUP!AD54&lt;&gt;""),"X",0))),"|",WORLDCUP!AC54,"-",WORLDCUP!AD54)</f>
        <v>X|1-1</v>
      </c>
      <c r="D42" s="699"/>
      <c r="E42" s="370"/>
      <c r="F42" s="370"/>
      <c r="G42" s="370"/>
      <c r="H42" s="370"/>
      <c r="I42" s="381"/>
      <c r="J42" s="370"/>
      <c r="K42" s="370"/>
      <c r="L42" s="370"/>
      <c r="M42" s="379"/>
      <c r="N42" s="377"/>
    </row>
    <row r="43" spans="1:14" ht="15" customHeight="1">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2|2-3</v>
      </c>
      <c r="D43" s="699"/>
      <c r="E43" s="370"/>
      <c r="F43" s="370"/>
      <c r="G43" s="370"/>
      <c r="H43" s="370"/>
      <c r="I43" s="381"/>
      <c r="J43" s="370"/>
      <c r="K43" s="370"/>
      <c r="L43" s="370"/>
      <c r="M43" s="379"/>
      <c r="N43" s="377"/>
    </row>
    <row r="44" spans="1:14" ht="15" customHeight="1">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1|3-1</v>
      </c>
      <c r="D45" s="699"/>
      <c r="E45" s="370"/>
      <c r="F45" s="370"/>
      <c r="G45" s="370"/>
      <c r="H45" s="370"/>
      <c r="I45" s="381"/>
      <c r="J45" s="370"/>
      <c r="K45" s="370"/>
      <c r="L45" s="370"/>
      <c r="M45" s="379"/>
      <c r="N45" s="377"/>
    </row>
    <row r="46" spans="1:14" ht="15" customHeight="1">
      <c r="A46" s="355" t="s">
        <v>525</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525</v>
      </c>
      <c r="B47" s="356" t="str">
        <f ca="1">CONCATENATE(WORLDCUP!AA71,"-",WORLDCUP!AF71)</f>
        <v>Noruega-Senegal</v>
      </c>
      <c r="C47" s="349" t="str">
        <f>CONCATENATE(IF(WORLDCUP!AC71&gt;WORLDCUP!AD71,1,IF(WORLDCUP!AC71&lt;WORLDCUP!AD71,2,IF(AND(WORLDCUP!AC71=WORLDCUP!AD71,WORLDCUP!AC71&lt;&gt;"",WORLDCUP!AD71&lt;&gt;""),"X",0))),"|",WORLDCUP!AC71,"-",WORLDCUP!AD71)</f>
        <v>1|2-1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1|1-0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1|1-0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9"/>
      <c r="E51" s="370"/>
      <c r="F51" s="370"/>
      <c r="G51" s="370"/>
      <c r="H51" s="370"/>
      <c r="I51" s="381"/>
      <c r="J51" s="370"/>
      <c r="K51" s="370"/>
      <c r="L51" s="370"/>
      <c r="M51" s="379"/>
      <c r="N51" s="377"/>
    </row>
    <row r="52" spans="1:14" ht="15" customHeight="1">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1|1-0</v>
      </c>
      <c r="D52" s="699"/>
      <c r="E52" s="370"/>
      <c r="F52" s="370"/>
      <c r="G52" s="370"/>
      <c r="H52" s="370"/>
      <c r="I52" s="381"/>
      <c r="J52" s="370"/>
      <c r="K52" s="370"/>
      <c r="L52" s="370"/>
      <c r="M52" s="379"/>
      <c r="N52" s="377"/>
    </row>
    <row r="53" spans="1:14" ht="15" customHeight="1">
      <c r="A53" s="38" t="s">
        <v>1211</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2|1-2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X|1-1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1|4-1</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1|3-0</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1|2-1</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2|0-1</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2|1-3</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1|2-0</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2|1-2</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2|1-3</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2|0-3</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X|2-2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1|2-1</v>
      </c>
      <c r="D75" s="693"/>
      <c r="E75" s="370"/>
      <c r="F75" s="370"/>
      <c r="G75" s="370"/>
      <c r="H75" s="370"/>
      <c r="I75" s="381"/>
      <c r="J75" s="370"/>
      <c r="K75" s="370"/>
      <c r="L75" s="370"/>
      <c r="M75" s="379"/>
      <c r="N75" s="377"/>
    </row>
    <row r="76" spans="1:14" ht="15" customHeight="1">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2|1-3</v>
      </c>
      <c r="D76" s="693"/>
      <c r="E76" s="370"/>
      <c r="F76" s="370"/>
      <c r="G76" s="370"/>
      <c r="H76" s="370"/>
      <c r="I76" s="381"/>
      <c r="J76" s="370"/>
      <c r="K76" s="370"/>
      <c r="L76" s="370"/>
      <c r="M76" s="379"/>
      <c r="N76" s="377"/>
    </row>
    <row r="77" spans="1:14" ht="15" customHeight="1">
      <c r="A77" s="38" t="s">
        <v>1212</v>
      </c>
      <c r="B77" s="357" t="str">
        <f ca="1">CONCATENATE(WORLDCUP!AA97,"-",WORLDCUP!AF97)</f>
        <v>Croacia-Ghana</v>
      </c>
      <c r="C77" s="349" t="str">
        <f>CONCATENATE(IF(WORLDCUP!AC97&gt;WORLDCUP!AD97,1,IF(WORLDCUP!AC97&lt;WORLDCUP!AD97,2,IF(AND(WORLDCUP!AC97=WORLDCUP!AD97,WORLDCUP!AC97&lt;&gt;"",WORLDCUP!AD97&lt;&gt;""),"X",0))),"|",WORLDCUP!AC97,"-",WORLDCUP!AD97)</f>
        <v>1|2-0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14999999999999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Corea del Sur</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México</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Catar</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Japón</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Países Bajos</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14999999999999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México</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Japón</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Corea del Sur</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Países Bajos</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Senegal</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19.899999999999999"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México-Canadá</v>
      </c>
      <c r="C164" s="349" t="str">
        <f ca="1">CONCATENATE(WORLDCUP!AA101,"-",WORLDCUP!AF101,"·",IF(WORLDCUP!AC101&gt;WORLDCUP!AD101,1,IF(WORLDCUP!AC101&lt;WORLDCUP!AD101,2,IF(AND(WORLDCUP!AC101=WORLDCUP!AD101,WORLDCUP!AC101&lt;&gt;"",WORLDCUP!AD101&lt;&gt;""),"X",0))),"|",WORLDCUP!AC101,"-",WORLDCUP!AD101)</f>
        <v>México-Canadá·1|2-0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Brasil-Países Bajos</v>
      </c>
      <c r="C165" s="349" t="str">
        <f ca="1">CONCATENATE(WORLDCUP!AA102,"-",WORLDCUP!AF102,"·",IF(WORLDCUP!AC102&gt;WORLDCUP!AD102,1,IF(WORLDCUP!AC102&lt;WORLDCUP!AD102,2,IF(AND(WORLDCUP!AC102=WORLDCUP!AD102,WORLDCUP!AC102&lt;&gt;"",WORLDCUP!AD102&lt;&gt;""),"X",0))),"|",WORLDCUP!AC102,"-",WORLDCUP!AD102)</f>
        <v>Brasil-Países Bajos·1|2-1</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692"/>
      <c r="E166" s="711"/>
      <c r="F166" s="711"/>
      <c r="G166" s="711"/>
      <c r="H166" s="711"/>
      <c r="I166" s="352"/>
      <c r="J166" s="370"/>
      <c r="K166" s="370"/>
      <c r="L166" s="370"/>
      <c r="M166" s="386"/>
      <c r="N166" s="377"/>
    </row>
    <row r="167" spans="1:14" ht="15" customHeight="1">
      <c r="A167" s="690"/>
      <c r="B167" s="360" t="str">
        <f ca="1">CONCATENATE(WORLDCUP!AA104,"-",WORLDCUP!AF104)</f>
        <v>Japón-Marruecos</v>
      </c>
      <c r="C167" s="349" t="str">
        <f ca="1">CONCATENATE(WORLDCUP!AA104,"-",WORLDCUP!AF104,"·",IF(WORLDCUP!AC104&gt;WORLDCUP!AD104,1,IF(WORLDCUP!AC104&lt;WORLDCUP!AD104,2,IF(AND(WORLDCUP!AC104=WORLDCUP!AD104,WORLDCUP!AC104&lt;&gt;"",WORLDCUP!AD104&lt;&gt;""),"X",0))),"|",WORLDCUP!AC104,"-",WORLDCUP!AD104)</f>
        <v>Japón-Marruecos·2|1-2</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Ecuador-Noruega·2|0-2</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Francia-Suecia·1|3-0</v>
      </c>
      <c r="D169" s="692"/>
      <c r="E169" s="370"/>
      <c r="F169" s="370"/>
      <c r="G169" s="370"/>
      <c r="H169" s="370"/>
      <c r="I169" s="352"/>
      <c r="J169" s="370"/>
      <c r="K169" s="370"/>
      <c r="L169" s="370"/>
      <c r="M169" s="386"/>
      <c r="N169" s="377"/>
    </row>
    <row r="170" spans="1:14" ht="15" customHeight="1">
      <c r="A170" s="690"/>
      <c r="B170" s="360" t="str">
        <f ca="1">CONCATENATE(WORLDCUP!AA107,"-",WORLDCUP!AF107)</f>
        <v>Corea del Sur-Escocia</v>
      </c>
      <c r="C170" s="349" t="str">
        <f ca="1">CONCATENATE(WORLDCUP!AA107,"-",WORLDCUP!AF107,"·",IF(WORLDCUP!AC107&gt;WORLDCUP!AD107,1,IF(WORLDCUP!AC107&lt;WORLDCUP!AD107,2,IF(AND(WORLDCUP!AC107=WORLDCUP!AD107,WORLDCUP!AC107&lt;&gt;"",WORLDCUP!AD107&lt;&gt;""),"X",0))),"|",WORLDCUP!AC107,"-",WORLDCUP!AD107)</f>
        <v>Corea del Sur-Escocia·1|2-0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Congo·1|3-0</v>
      </c>
      <c r="D171" s="692"/>
      <c r="E171" s="370"/>
      <c r="F171" s="370"/>
      <c r="G171" s="370"/>
      <c r="H171" s="370"/>
      <c r="I171" s="352"/>
      <c r="J171" s="370"/>
      <c r="K171" s="370"/>
      <c r="L171" s="370"/>
      <c r="M171" s="386"/>
      <c r="N171" s="377"/>
    </row>
    <row r="172" spans="1:14" ht="15" customHeight="1">
      <c r="A172" s="690"/>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Saudita·1|2-1</v>
      </c>
      <c r="D172" s="692"/>
      <c r="E172" s="370"/>
      <c r="F172" s="370"/>
      <c r="G172" s="370"/>
      <c r="H172" s="370"/>
      <c r="I172" s="352"/>
      <c r="J172" s="370"/>
      <c r="K172" s="370"/>
      <c r="L172" s="370"/>
      <c r="M172" s="386"/>
      <c r="N172" s="377"/>
    </row>
    <row r="173" spans="1:14" ht="15" customHeight="1">
      <c r="A173" s="690"/>
      <c r="B173" s="360" t="str">
        <f ca="1">CONCATENATE(WORLDCUP!AA110,"-",WORLDCUP!AF110)</f>
        <v>Turquía-Senegal</v>
      </c>
      <c r="C173" s="349" t="str">
        <f ca="1">CONCATENATE(WORLDCUP!AA110,"-",WORLDCUP!AF110,"·",IF(WORLDCUP!AC110&gt;WORLDCUP!AD110,1,IF(WORLDCUP!AC110&lt;WORLDCUP!AD110,2,IF(AND(WORLDCUP!AC110=WORLDCUP!AD110,WORLDCUP!AC110&lt;&gt;"",WORLDCUP!AD110&lt;&gt;""),"X",0))),"|",WORLDCUP!AC110,"-",WORLDCUP!AD110)</f>
        <v>Turquía-Senegal·1|3-0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Colombia-Croacia·1|3-1</v>
      </c>
      <c r="D175" s="692"/>
      <c r="E175" s="370"/>
      <c r="F175" s="370"/>
      <c r="G175" s="370"/>
      <c r="H175" s="370"/>
      <c r="I175" s="352"/>
      <c r="J175" s="370"/>
      <c r="K175" s="370"/>
      <c r="L175" s="370"/>
      <c r="M175" s="386"/>
      <c r="N175" s="377"/>
    </row>
    <row r="176" spans="1:14" ht="15" customHeight="1">
      <c r="A176" s="690"/>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Suiza-Egipto·1|2-0</v>
      </c>
      <c r="D176" s="692"/>
      <c r="E176" s="370"/>
      <c r="F176" s="370"/>
      <c r="G176" s="370"/>
      <c r="H176" s="370"/>
      <c r="I176" s="352"/>
      <c r="J176" s="370"/>
      <c r="K176" s="370"/>
      <c r="L176" s="370"/>
      <c r="M176" s="386"/>
      <c r="N176" s="377"/>
    </row>
    <row r="177" spans="1:14" ht="15" customHeight="1">
      <c r="A177" s="690"/>
      <c r="B177" s="360" t="str">
        <f ca="1">CONCATENATE(WORLDCUP!AA114,"-",WORLDCUP!AF114)</f>
        <v>Estados Unidos-Irán</v>
      </c>
      <c r="C177" s="349" t="str">
        <f ca="1">CONCATENATE(WORLDCUP!AA114,"-",WORLDCUP!AF114,"·",IF(WORLDCUP!AC114&gt;WORLDCUP!AD114,1,IF(WORLDCUP!AC114&lt;WORLDCUP!AD114,2,IF(AND(WORLDCUP!AC114=WORLDCUP!AD114,WORLDCUP!AC114&lt;&gt;"",WORLDCUP!AD114&lt;&gt;""),"X",0))),"|",WORLDCUP!AC114,"-",WORLDCUP!AD114)</f>
        <v>Estados Unidos-Irán·2|1-2</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Argentina-Uruguay·1|3-1</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14999999999999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México</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Corea del Sur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Irán</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14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México-Marruecos</v>
      </c>
      <c r="C200" s="351" t="str">
        <f ca="1">CONCATENATE(WORLDCUP!AA120,"-",WORLDCUP!AF120,"·",IF(WORLDCUP!AC120&gt;WORLDCUP!AD120,1,IF(WORLDCUP!AC120&lt;WORLDCUP!AD120,2,IF(AND(WORLDCUP!AC120=WORLDCUP!AD120,WORLDCUP!AC120&lt;&gt;"",WORLDCUP!AD120&lt;&gt;""),"X",0))),"|",WORLDCUP!AC120,"-",WORLDCUP!AD120)</f>
        <v>México-Marruecos·2|0-2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Alemania-Francia·2|1-3</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Brasil-Noruega·2|2-3</v>
      </c>
      <c r="D202" s="691"/>
      <c r="E202" s="686"/>
      <c r="F202" s="686"/>
      <c r="G202" s="686"/>
      <c r="H202" s="686"/>
      <c r="I202" s="352"/>
      <c r="J202" s="370"/>
      <c r="K202" s="370"/>
      <c r="L202" s="370"/>
      <c r="M202" s="386"/>
      <c r="N202" s="377"/>
    </row>
    <row r="203" spans="1:14" ht="15" customHeight="1">
      <c r="A203" s="690"/>
      <c r="B203" s="361" t="str">
        <f ca="1">CONCATENATE(WORLDCUP!AA123,"-",WORLDCUP!AF123)</f>
        <v>Corea del Sur-Inglaterra</v>
      </c>
      <c r="C203" s="351" t="str">
        <f ca="1">CONCATENATE(WORLDCUP!AA123,"-",WORLDCUP!AF123,"·",IF(WORLDCUP!AC123&gt;WORLDCUP!AD123,1,IF(WORLDCUP!AC123&lt;WORLDCUP!AD123,2,IF(AND(WORLDCUP!AC123=WORLDCUP!AD123,WORLDCUP!AC123&lt;&gt;"",WORLDCUP!AD123&lt;&gt;""),"X",0))),"|",WORLDCUP!AC123,"-",WORLDCUP!AD123)</f>
        <v>Corea del Sur-Inglaterra·2|1-3</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Colombia-España·2|2-3</v>
      </c>
      <c r="D204" s="691"/>
      <c r="E204" s="352"/>
      <c r="F204" s="352"/>
      <c r="G204" s="352"/>
      <c r="H204" s="352"/>
      <c r="I204" s="352"/>
      <c r="J204" s="370"/>
      <c r="K204" s="370"/>
      <c r="L204" s="370"/>
      <c r="M204" s="386"/>
      <c r="N204" s="377"/>
    </row>
    <row r="205" spans="1:14" ht="15" customHeight="1">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Turquía-Bélgica·1|2-0</v>
      </c>
      <c r="D205" s="691"/>
      <c r="E205" s="352"/>
      <c r="F205" s="352"/>
      <c r="G205" s="352"/>
      <c r="H205" s="352"/>
      <c r="I205" s="352"/>
      <c r="J205" s="370"/>
      <c r="K205" s="370"/>
      <c r="L205" s="370"/>
      <c r="M205" s="386"/>
      <c r="N205" s="377"/>
    </row>
    <row r="206" spans="1:14" ht="15" customHeight="1">
      <c r="A206" s="690"/>
      <c r="B206" s="361" t="str">
        <f ca="1">CONCATENATE(WORLDCUP!AA126,"-",WORLDCUP!AF126)</f>
        <v>Argentina-Irán</v>
      </c>
      <c r="C206" s="351" t="str">
        <f ca="1">CONCATENATE(WORLDCUP!AA126,"-",WORLDCUP!AF126,"·",IF(WORLDCUP!AC126&gt;WORLDCUP!AD126,1,IF(WORLDCUP!AC126&lt;WORLDCUP!AD126,2,IF(AND(WORLDCUP!AC126=WORLDCUP!AD126,WORLDCUP!AC126&lt;&gt;"",WORLDCUP!AD126&lt;&gt;""),"X",0))),"|",WORLDCUP!AC126,"-",WORLDCUP!AD126)</f>
        <v>Argentina-Irán·1|2-1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Suiza-Portugal·X|1-1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14999999999999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Noruega</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Turquía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España-Turquía·2|0-1</v>
      </c>
      <c r="D221" s="692"/>
      <c r="E221" s="686"/>
      <c r="F221" s="686"/>
      <c r="G221" s="686"/>
      <c r="H221" s="686"/>
      <c r="I221" s="352"/>
      <c r="J221" s="370"/>
      <c r="K221" s="370"/>
      <c r="L221" s="370"/>
      <c r="M221" s="386"/>
      <c r="N221" s="377"/>
    </row>
    <row r="222" spans="1:14" ht="15" customHeight="1">
      <c r="A222" s="690"/>
      <c r="B222" s="360" t="str">
        <f ca="1">CONCATENATE(WORLDCUP!AA133,"-",WORLDCUP!AF133)</f>
        <v>Noruega-Inglaterra</v>
      </c>
      <c r="C222" s="349" t="str">
        <f ca="1">CONCATENATE(WORLDCUP!AA133,"-",WORLDCUP!AF133,"·",IF(WORLDCUP!AC133&gt;WORLDCUP!AD133,1,IF(WORLDCUP!AC133&lt;WORLDCUP!AD133,2,IF(AND(WORLDCUP!AC133=WORLDCUP!AD133,WORLDCUP!AC133&lt;&gt;"",WORLDCUP!AD133&lt;&gt;""),"X",0))),"|",WORLDCUP!AC133,"-",WORLDCUP!AD133)</f>
        <v>Noruega-Inglaterra·2|0-2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Turquía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14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Francia-Turquía</v>
      </c>
      <c r="C232" s="351" t="str">
        <f ca="1">CONCATENATE(WORLDCUP!AA138,"-",WORLDCUP!AF138,"·",IF(WORLDCUP!AC138&gt;WORLDCUP!AD138,1,IF(WORLDCUP!AC138&lt;WORLDCUP!AD138,2,IF(AND(WORLDCUP!AC138=WORLDCUP!AD138,WORLDCUP!AC138&lt;&gt;"",WORLDCUP!AD138&lt;&gt;""),"X",0))),"|",WORLDCUP!AC138,"-",WORLDCUP!AD138)</f>
        <v>Francia-Turquía·1|3-2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Inglaterra-Argentina·1|1-0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Turquía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14999999999999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Inglaterra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Turquía-Argentina</v>
      </c>
      <c r="C244" s="349" t="str">
        <f ca="1">CONCATENATE(WORLDCUP!AA143,"-",WORLDCUP!AF143,"·",IF(WORLDCUP!AC143&gt;WORLDCUP!AD143,1,IF(WORLDCUP!AC143&lt;WORLDCUP!AD143,2,IF(AND(WORLDCUP!AC143=WORLDCUP!AD143,WORLDCUP!AC143&lt;&gt;"",WORLDCUP!AD143&lt;&gt;""),"X",0))),"|",WORLDCUP!AC143,"-",WORLDCUP!AD143)</f>
        <v>Turquía-Argentina·1|4-2</v>
      </c>
      <c r="D244" s="689" t="s">
        <v>583</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Francia-Inglaterra</v>
      </c>
      <c r="C247" s="351" t="str">
        <f ca="1">CONCATENATE(WORLDCUP!AA147,"-",WORLDCUP!AF147,"·",IF(WORLDCUP!AC147&gt;WORLDCUP!AD147,1,IF(WORLDCUP!AC147&lt;WORLDCUP!AD147,2,IF(AND(WORLDCUP!AC147=WORLDCUP!AD147,WORLDCUP!AC147&lt;&gt;"",WORLDCUP!AD147&lt;&gt;""),"X",0))),"|",WORLDCUP!AC147,"-",WORLDCUP!AD147)</f>
        <v>Francia-Inglaterra·1|2-0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14999999999999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Inglaterra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Turquía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Ousmane Dembele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Lamine Yamal</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Kylian Mbappé</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 xml:space="preserve">Ousman Dembelé </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Harry Kane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 xml:space="preserve">Kylian Mbappé </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6" hidden="1" customWidth="1"/>
    <col min="25" max="25" width="2.7109375" style="9" customWidth="1"/>
    <col min="26" max="26" width="7.42578125" style="9" bestFit="1" customWidth="1"/>
    <col min="27" max="27" width="9.7109375" style="3" customWidth="1"/>
    <col min="28" max="29" width="4.28515625" style="3" customWidth="1"/>
    <col min="30" max="30" width="2.7109375" style="9" customWidth="1"/>
    <col min="31" max="31" width="9.7109375" style="3" customWidth="1"/>
    <col min="32" max="33" width="4.28515625" style="3" customWidth="1"/>
    <col min="34" max="34" width="2.7109375" style="9" customWidth="1"/>
    <col min="35" max="35" width="9.7109375" style="3" customWidth="1"/>
    <col min="36" max="37" width="4.28515625" style="3" customWidth="1"/>
    <col min="38" max="38" width="2.7109375" style="9" customWidth="1"/>
    <col min="39" max="39" width="9.7109375" style="3" customWidth="1"/>
    <col min="40" max="41" width="4.28515625" style="3" customWidth="1"/>
    <col min="42" max="42" width="2.7109375" style="9" customWidth="1"/>
    <col min="43" max="43" width="9.7109375" style="3" customWidth="1"/>
    <col min="44" max="45" width="4.28515625" style="3" customWidth="1"/>
    <col min="46" max="46" width="2.7109375" style="9"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15"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5.75" thickBot="1">
      <c r="A4" s="181">
        <v>2</v>
      </c>
      <c r="B4" s="443"/>
      <c r="C4" s="444" t="str">
        <f ca="1">+MID(INDEX(WORLDCUP!$AA$4:$AA$147,MATCH(A4,WORLDCUP!$AH$4:$AH$147,0)),1,3)</f>
        <v>Cor</v>
      </c>
      <c r="D4" s="445">
        <f>IF(ISBLANK(INDEX(WORLDCUP!$AC$4:$AC$147,MATCH(A4,WORLDCUP!$AH$4:$AH$147,0))),"",INDEX(WORLDCUP!$AC$4:$AC$147,MATCH(A4,WORLDCUP!$AH$4:$AH$147,0)))</f>
        <v>3</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Cor</v>
      </c>
      <c r="I4" s="449">
        <f ca="1">+INDEX(WORLDCUP!$AM$6:$AM$97,MATCH(L4,WORLDCUP!$AI$6:$AI$97,0))</f>
        <v>9</v>
      </c>
      <c r="J4" s="450">
        <f ca="1">+INDEX(WORLDCUP!$AT$6:$AT$97,MATCH(L4,WORLDCUP!$AI$6:$AI$97,0))</f>
        <v>4</v>
      </c>
      <c r="K4" s="451" t="str">
        <f ca="1">+INDEX(WORLDCUP!$AR$6:$AR$97,MATCH(L4,WORLDCUP!$AI$6:$AI$97,0))&amp;"-"&amp;INDEX(WORLDCUP!$AS$6:$AS$97,MATCH(L4,WORLDCUP!$AI$6:$AI$97,0))</f>
        <v>7-3</v>
      </c>
      <c r="L4" s="181" t="s">
        <v>657</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3</v>
      </c>
      <c r="W4" s="451" t="str">
        <f ca="1">+INDEX(WORLDCUP!$AR$6:$AR$97,MATCH(X4,WORLDCUP!$AI$6:$AI$97,0))&amp;"-"&amp;INDEX(WORLDCUP!$AS$6:$AS$97,MATCH(X4,WORLDCUP!$AI$6:$AI$97,0))</f>
        <v>5-2</v>
      </c>
      <c r="X4" s="181" t="s">
        <v>679</v>
      </c>
      <c r="Y4" s="181">
        <v>74</v>
      </c>
      <c r="Z4" s="425" t="s">
        <v>734</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Méx</v>
      </c>
      <c r="I5" s="38">
        <f ca="1">+INDEX(WORLDCUP!$AM$6:$AM$97,MATCH(L5,WORLDCUP!$AI$6:$AI$97,0))</f>
        <v>4</v>
      </c>
      <c r="J5" s="39">
        <f ca="1">+INDEX(WORLDCUP!$AT$6:$AT$97,MATCH(L5,WORLDCUP!$AI$6:$AI$97,0))</f>
        <v>0</v>
      </c>
      <c r="K5" s="43" t="str">
        <f ca="1">+INDEX(WORLDCUP!$AR$6:$AR$97,MATCH(L5,WORLDCUP!$AI$6:$AI$97,0))&amp;"-"&amp;INDEX(WORLDCUP!$AS$6:$AS$97,MATCH(L5,WORLDCUP!$AI$6:$AI$97,0))</f>
        <v>4-4</v>
      </c>
      <c r="L5" s="181" t="s">
        <v>658</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7</v>
      </c>
      <c r="V5" s="39">
        <f ca="1">+INDEX(WORLDCUP!$AT$6:$AT$97,MATCH(X5,WORLDCUP!$AI$6:$AI$97,0))</f>
        <v>3</v>
      </c>
      <c r="W5" s="43" t="str">
        <f ca="1">+INDEX(WORLDCUP!$AR$6:$AR$97,MATCH(X5,WORLDCUP!$AI$6:$AI$97,0))&amp;"-"&amp;INDEX(WORLDCUP!$AS$6:$AS$97,MATCH(X5,WORLDCUP!$AI$6:$AI$97,0))</f>
        <v>5-2</v>
      </c>
      <c r="X5" s="181" t="s">
        <v>680</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Rep</v>
      </c>
      <c r="I6" s="38">
        <f ca="1">+INDEX(WORLDCUP!$AM$6:$AM$97,MATCH(L6,WORLDCUP!$AI$6:$AI$97,0))</f>
        <v>2</v>
      </c>
      <c r="J6" s="39">
        <f ca="1">+INDEX(WORLDCUP!$AT$6:$AT$97,MATCH(L6,WORLDCUP!$AI$6:$AI$97,0))</f>
        <v>-2</v>
      </c>
      <c r="K6" s="43" t="str">
        <f ca="1">+INDEX(WORLDCUP!$AR$6:$AR$97,MATCH(L6,WORLDCUP!$AI$6:$AI$97,0))&amp;"-"&amp;INDEX(WORLDCUP!$AS$6:$AS$97,MATCH(L6,WORLDCUP!$AI$6:$AI$97,0))</f>
        <v>3-5</v>
      </c>
      <c r="L6" s="181" t="s">
        <v>90</v>
      </c>
      <c r="M6" s="181">
        <v>40</v>
      </c>
      <c r="N6" s="452"/>
      <c r="O6" s="444" t="str">
        <f ca="1">+MID(INDEX(WORLDCUP!$AA$4:$AA$147,MATCH(M6,WORLDCUP!$AH$4:$AH$147,0)),1,3)</f>
        <v>Nue</v>
      </c>
      <c r="P6" s="445">
        <f>IF(ISBLANK(INDEX(WORLDCUP!$AC$4:$AC$147,MATCH(M6,WORLDCUP!$AH$4:$AH$147,0))),"",INDEX(WORLDCUP!$AC$4:$AC$147,MATCH(M6,WORLDCUP!$AH$4:$AH$147,0)))</f>
        <v>2</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Egi</v>
      </c>
      <c r="U6" s="38">
        <f ca="1">+INDEX(WORLDCUP!$AM$6:$AM$97,MATCH(X6,WORLDCUP!$AI$6:$AI$97,0))</f>
        <v>3</v>
      </c>
      <c r="V6" s="39">
        <f ca="1">+INDEX(WORLDCUP!$AT$6:$AT$97,MATCH(X6,WORLDCUP!$AI$6:$AI$97,0))</f>
        <v>-1</v>
      </c>
      <c r="W6" s="43" t="str">
        <f ca="1">+INDEX(WORLDCUP!$AR$6:$AR$97,MATCH(X6,WORLDCUP!$AI$6:$AI$97,0))&amp;"-"&amp;INDEX(WORLDCUP!$AS$6:$AS$97,MATCH(X6,WORLDCUP!$AI$6:$AI$97,0))</f>
        <v>5-6</v>
      </c>
      <c r="X6" s="181" t="s">
        <v>445</v>
      </c>
      <c r="Y6" s="181">
        <v>77</v>
      </c>
      <c r="Z6" s="425" t="s">
        <v>685</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-2</v>
      </c>
      <c r="K7" s="479" t="str">
        <f ca="1">+INDEX(WORLDCUP!$AR$6:$AR$97,MATCH(L7,WORLDCUP!$AI$6:$AI$97,0))&amp;"-"&amp;INDEX(WORLDCUP!$AS$6:$AS$97,MATCH(L7,WORLDCUP!$AI$6:$AI$97,0))</f>
        <v>3-5</v>
      </c>
      <c r="L7" s="181" t="s">
        <v>659</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2-7</v>
      </c>
      <c r="X7" s="181" t="s">
        <v>681</v>
      </c>
      <c r="Y7" s="181">
        <v>77</v>
      </c>
      <c r="Z7" s="425" t="s">
        <v>735</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Méx</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7-2</v>
      </c>
      <c r="L12" s="181" t="s">
        <v>660</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9-1</v>
      </c>
      <c r="X12" s="181" t="s">
        <v>682</v>
      </c>
      <c r="Y12" s="181">
        <v>75</v>
      </c>
      <c r="Z12" s="425" t="s">
        <v>676</v>
      </c>
      <c r="AA12" s="426" t="str">
        <f ca="1">+MID(INDEX(WORLDCUP!$AA$101:$AA$147,MATCH(Y12,WORLDCUP!$Z$101:$Z$147,0)),1,3)</f>
        <v>Jap</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1</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1</v>
      </c>
      <c r="K13" s="43" t="str">
        <f ca="1">+INDEX(WORLDCUP!$AR$6:$AR$97,MATCH(L13,WORLDCUP!$AI$6:$AI$97,0))&amp;"-"&amp;INDEX(WORLDCUP!$AS$6:$AS$97,MATCH(L13,WORLDCUP!$AI$6:$AI$97,0))</f>
        <v>4-3</v>
      </c>
      <c r="L13" s="181" t="s">
        <v>661</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7-5</v>
      </c>
      <c r="X13" s="181" t="s">
        <v>683</v>
      </c>
      <c r="Y13" s="181">
        <v>75</v>
      </c>
      <c r="Z13" s="425" t="s">
        <v>668</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Cat</v>
      </c>
      <c r="I14" s="38">
        <f ca="1">+INDEX(WORLDCUP!$AM$6:$AM$97,MATCH(L14,WORLDCUP!$AI$6:$AI$97,0))</f>
        <v>2</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Tur</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Bos</v>
      </c>
      <c r="I15" s="477">
        <f ca="1">+INDEX(WORLDCUP!$AM$6:$AM$97,MATCH(L15,WORLDCUP!$AI$6:$AI$97,0))</f>
        <v>1</v>
      </c>
      <c r="J15" s="478">
        <f ca="1">+INDEX(WORLDCUP!$AT$6:$AT$97,MATCH(L15,WORLDCUP!$AI$6:$AI$97,0))</f>
        <v>-4</v>
      </c>
      <c r="K15" s="479" t="str">
        <f ca="1">+INDEX(WORLDCUP!$AR$6:$AR$97,MATCH(L15,WORLDCUP!$AI$6:$AI$97,0))&amp;"-"&amp;INDEX(WORLDCUP!$AS$6:$AS$97,MATCH(L15,WORLDCUP!$AI$6:$AI$97,0))</f>
        <v>1-5</v>
      </c>
      <c r="L15" s="181" t="s">
        <v>662</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-8</v>
      </c>
      <c r="W15" s="479" t="str">
        <f ca="1">+INDEX(WORLDCUP!$AR$6:$AR$97,MATCH(X15,WORLDCUP!$AI$6:$AI$97,0))&amp;"-"&amp;INDEX(WORLDCUP!$AS$6:$AS$97,MATCH(X15,WORLDCUP!$AI$6:$AI$97,0))</f>
        <v>1-9</v>
      </c>
      <c r="X15" s="181" t="s">
        <v>684</v>
      </c>
      <c r="Y15" s="181">
        <v>83</v>
      </c>
      <c r="Z15" s="425" t="s">
        <v>692</v>
      </c>
      <c r="AA15" s="426" t="str">
        <f ca="1">+MID(INDEX(WORLDCUP!$AA$101:$AA$147,MATCH(Y15,WORLDCUP!$Z$101:$Z$147,0)),1,3)</f>
        <v>Col</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2</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0</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7</v>
      </c>
      <c r="K20" s="451" t="str">
        <f ca="1">+INDEX(WORLDCUP!$AR$6:$AR$97,MATCH(L20,WORLDCUP!$AI$6:$AI$97,0))&amp;"-"&amp;INDEX(WORLDCUP!$AS$6:$AS$97,MATCH(L20,WORLDCUP!$AI$6:$AI$97,0))</f>
        <v>10-3</v>
      </c>
      <c r="L20" s="181" t="s">
        <v>663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8-2</v>
      </c>
      <c r="X20" s="181" t="s">
        <v>685</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4</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7</v>
      </c>
      <c r="K21" s="43" t="str">
        <f ca="1">+INDEX(WORLDCUP!$AR$6:$AR$97,MATCH(L21,WORLDCUP!$AI$6:$AI$97,0))&amp;"-"&amp;INDEX(WORLDCUP!$AS$6:$AS$97,MATCH(L21,WORLDCUP!$AI$6:$AI$97,0))</f>
        <v>10-3</v>
      </c>
      <c r="L21" s="181" t="s">
        <v>668</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5-4</v>
      </c>
      <c r="X21" s="181" t="s">
        <v>686</v>
      </c>
      <c r="Y21" s="181">
        <v>81</v>
      </c>
      <c r="Z21" s="425" t="s">
        <v>670</v>
      </c>
      <c r="AA21" s="426" t="str">
        <f ca="1">+MID(INDEX(WORLDCUP!$AA$101:$AA$147,MATCH(Y21,WORLDCUP!$Z$101:$Z$147,0)),1,3)</f>
        <v>Tur</v>
      </c>
      <c r="AB21" s="427">
        <f>+IF(ISBLANK(INDEX(WORLDCUP!$AC$101:$AC$147,MATCH(Y21,WORLDCUP!$Z$101:$Z$147,0))),"",INDEX(WORLDCUP!$AC$101:$AC$147,MATCH(Y21,WORLDCUP!$Z$101:$Z$147,0)))</f>
        <v>3</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4-7</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0</v>
      </c>
      <c r="W22" s="43" t="str">
        <f ca="1">+INDEX(WORLDCUP!$AR$6:$AR$97,MATCH(X22,WORLDCUP!$AI$6:$AI$97,0))&amp;"-"&amp;INDEX(WORLDCUP!$AS$6:$AS$97,MATCH(X22,WORLDCUP!$AI$6:$AI$97,0))</f>
        <v>4-4</v>
      </c>
      <c r="X22" s="181" t="s">
        <v>450</v>
      </c>
      <c r="Y22" s="181">
        <v>81</v>
      </c>
      <c r="Z22" s="425" t="s">
        <v>738</v>
      </c>
      <c r="AA22" s="426" t="str">
        <f ca="1">+MID(INDEX(WORLDCUP!$AF$101:$AF$147,MATCH(Y22,WORLDCUP!$Z$101:$Z$147,0)),1,IF(WORLDCUP!$H$113&lt;144,6,3))</f>
        <v>Sen</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-11</v>
      </c>
      <c r="K23" s="479" t="str">
        <f ca="1">+INDEX(WORLDCUP!$AR$6:$AR$97,MATCH(L23,WORLDCUP!$AI$6:$AI$97,0))&amp;"-"&amp;INDEX(WORLDCUP!$AS$6:$AS$97,MATCH(L23,WORLDCUP!$AI$6:$AI$97,0))</f>
        <v>1-12</v>
      </c>
      <c r="L23" s="181" t="s">
        <v>669</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3</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0-7</v>
      </c>
      <c r="X23" s="181" t="s">
        <v>687</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1</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1</v>
      </c>
      <c r="BL24" s="465">
        <f ca="1">COUNTIF(Pool!$C$226:$C$229,Fixture!BG24)-BM24-BN24-BO24</f>
        <v>0</v>
      </c>
      <c r="BM24" s="463">
        <f ca="1">COUNTIF(Pool!$C$252,Fixture!BG24)</f>
        <v>0</v>
      </c>
      <c r="BN24" s="463">
        <f ca="1">COUNTIF(Pool!$C$251,Fixture!BG24)</f>
        <v>0</v>
      </c>
      <c r="BO24" s="466">
        <f ca="1">COUNTIF(Pool!$C$250,Fixture!BG24)</f>
        <v>0</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Ara</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Turquía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8</v>
      </c>
      <c r="K28" s="451" t="str">
        <f ca="1">+INDEX(WORLDCUP!$AR$6:$AR$97,MATCH(L28,WORLDCUP!$AI$6:$AI$97,0))&amp;"-"&amp;INDEX(WORLDCUP!$AS$6:$AS$97,MATCH(L28,WORLDCUP!$AI$6:$AI$97,0))</f>
        <v>9-1</v>
      </c>
      <c r="L28" s="181" t="s">
        <v>670</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7-0</v>
      </c>
      <c r="X28" s="181" t="s">
        <v>688</v>
      </c>
      <c r="Y28" s="181">
        <v>76</v>
      </c>
      <c r="Z28" s="425" t="s">
        <v>677</v>
      </c>
      <c r="AA28" s="426" t="str">
        <f ca="1">+MID(INDEX(WORLDCUP!$AF$101:$AF$147,MATCH(Y28,WORLDCUP!$Z$101:$Z$147,0)),1,3)</f>
        <v>Paí</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-1</v>
      </c>
      <c r="K29" s="43" t="str">
        <f ca="1">+INDEX(WORLDCUP!$AR$6:$AR$97,MATCH(L29,WORLDCUP!$AI$6:$AI$97,0))&amp;"-"&amp;INDEX(WORLDCUP!$AS$6:$AS$97,MATCH(L29,WORLDCUP!$AI$6:$AI$97,0))</f>
        <v>4-5</v>
      </c>
      <c r="L29" s="181" t="s">
        <v>671</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5</v>
      </c>
      <c r="W29" s="43" t="str">
        <f ca="1">+INDEX(WORLDCUP!$AR$6:$AR$97,MATCH(X29,WORLDCUP!$AI$6:$AI$97,0))&amp;"-"&amp;INDEX(WORLDCUP!$AS$6:$AS$97,MATCH(X29,WORLDCUP!$AI$6:$AI$97,0))</f>
        <v>6-1</v>
      </c>
      <c r="X29" s="181" t="s">
        <v>689</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3</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4</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-3</v>
      </c>
      <c r="K30" s="43" t="str">
        <f ca="1">+INDEX(WORLDCUP!$AR$6:$AR$97,MATCH(L30,WORLDCUP!$AI$6:$AI$97,0))&amp;"-"&amp;INDEX(WORLDCUP!$AS$6:$AS$97,MATCH(L30,WORLDCUP!$AI$6:$AI$97,0))</f>
        <v>4-7</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Jor</v>
      </c>
      <c r="U30" s="38">
        <f ca="1">+INDEX(WORLDCUP!$AM$6:$AM$97,MATCH(X30,WORLDCUP!$AI$6:$AI$97,0))</f>
        <v>3</v>
      </c>
      <c r="V30" s="39">
        <f ca="1">+INDEX(WORLDCUP!$AT$6:$AT$97,MATCH(X30,WORLDCUP!$AI$6:$AI$97,0))</f>
        <v>-6</v>
      </c>
      <c r="W30" s="43" t="str">
        <f ca="1">+INDEX(WORLDCUP!$AR$6:$AR$97,MATCH(X30,WORLDCUP!$AI$6:$AI$97,0))&amp;"-"&amp;INDEX(WORLDCUP!$AS$6:$AS$97,MATCH(X30,WORLDCUP!$AI$6:$AI$97,0))</f>
        <v>1-7</v>
      </c>
      <c r="X30" s="181" t="s">
        <v>451</v>
      </c>
      <c r="Y30" s="181">
        <v>78</v>
      </c>
      <c r="Z30" s="425" t="s">
        <v>674</v>
      </c>
      <c r="AA30" s="426" t="str">
        <f ca="1">+MID(INDEX(WORLDCUP!$AA$101:$AA$147,MATCH(Y30,WORLDCUP!$Z$101:$Z$147,0)),1,3)</f>
        <v>Ecu</v>
      </c>
      <c r="AB30" s="472">
        <f>+IF(ISBLANK(INDEX(WORLDCUP!$AC$101:$AC$147,MATCH(Y30,WORLDCUP!$Z$101:$Z$147,0))),"",INDEX(WORLDCUP!$AC$101:$AC$147,MATCH(Y30,WORLDCUP!$Z$101:$Z$147,0)))</f>
        <v>0</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2-6</v>
      </c>
      <c r="L31" s="181" t="s">
        <v>672</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Arg</v>
      </c>
      <c r="U31" s="477">
        <f ca="1">+INDEX(WORLDCUP!$AM$6:$AM$97,MATCH(X31,WORLDCUP!$AI$6:$AI$97,0))</f>
        <v>0</v>
      </c>
      <c r="V31" s="478">
        <f ca="1">+INDEX(WORLDCUP!$AT$6:$AT$97,MATCH(X31,WORLDCUP!$AI$6:$AI$97,0))</f>
        <v>-6</v>
      </c>
      <c r="W31" s="479" t="str">
        <f ca="1">+INDEX(WORLDCUP!$AR$6:$AR$97,MATCH(X31,WORLDCUP!$AI$6:$AI$97,0))&amp;"-"&amp;INDEX(WORLDCUP!$AS$6:$AS$97,MATCH(X31,WORLDCUP!$AI$6:$AI$97,0))</f>
        <v>0-6</v>
      </c>
      <c r="X31" s="181" t="s">
        <v>690</v>
      </c>
      <c r="Y31" s="181">
        <v>78</v>
      </c>
      <c r="Z31" s="425" t="s">
        <v>686</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Nor</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Turq</v>
      </c>
      <c r="AR31" s="548">
        <f>+IF(ISBLANK(INDEX(WORLDCUP!$AC$101:$AC$147,MATCH(AP31,WORLDCUP!$Z$101:$Z$147,0))),"",INDEX(WORLDCUP!$AC$101:$AC$147,MATCH(AP31,WORLDCUP!$Z$101:$Z$147,0)))</f>
        <v>4</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0</v>
      </c>
      <c r="BJ31" s="464">
        <f ca="1">COUNTIF(Pool!$C$182:$C$197,Fixture!BG31)-BK31-BL31-BM31-BN31-BO31</f>
        <v>1</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1</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2</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Cor</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Cor</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10</v>
      </c>
      <c r="K36" s="451" t="str">
        <f ca="1">+INDEX(WORLDCUP!$AR$6:$AR$97,MATCH(L36,WORLDCUP!$AI$6:$AI$97,0))&amp;"-"&amp;INDEX(WORLDCUP!$AS$6:$AS$97,MATCH(L36,WORLDCUP!$AI$6:$AI$97,0))</f>
        <v>11-1</v>
      </c>
      <c r="L36" s="181" t="s">
        <v>673</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4</v>
      </c>
      <c r="W36" s="451" t="str">
        <f ca="1">+INDEX(WORLDCUP!$AR$6:$AR$97,MATCH(X36,WORLDCUP!$AI$6:$AI$97,0))&amp;"-"&amp;INDEX(WORLDCUP!$AS$6:$AS$97,MATCH(X36,WORLDCUP!$AI$6:$AI$97,0))</f>
        <v>6-2</v>
      </c>
      <c r="X36" s="181" t="s">
        <v>691</v>
      </c>
      <c r="Y36" s="181">
        <v>80</v>
      </c>
      <c r="Z36" s="425" t="s">
        <v>694</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1</v>
      </c>
      <c r="K37" s="43" t="str">
        <f ca="1">+INDEX(WORLDCUP!$AR$6:$AR$97,MATCH(L37,WORLDCUP!$AI$6:$AI$97,0))&amp;"-"&amp;INDEX(WORLDCUP!$AS$6:$AS$97,MATCH(L37,WORLDCUP!$AI$6:$AI$97,0))</f>
        <v>6-5</v>
      </c>
      <c r="L37" s="181" t="s">
        <v>674</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7-4</v>
      </c>
      <c r="X37" s="181" t="s">
        <v>692</v>
      </c>
      <c r="Y37" s="181">
        <v>80</v>
      </c>
      <c r="Z37" s="425" t="s">
        <v>737</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-3</v>
      </c>
      <c r="K38" s="43" t="str">
        <f ca="1">+INDEX(WORLDCUP!$AR$6:$AR$97,MATCH(L38,WORLDCUP!$AI$6:$AI$97,0))&amp;"-"&amp;INDEX(WORLDCUP!$AS$6:$AS$97,MATCH(L38,WORLDCUP!$AI$6:$AI$97,0))</f>
        <v>2-5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-2</v>
      </c>
      <c r="W38" s="43" t="str">
        <f ca="1">+INDEX(WORLDCUP!$AR$6:$AR$97,MATCH(X38,WORLDCUP!$AI$6:$AI$97,0))&amp;"-"&amp;INDEX(WORLDCUP!$AS$6:$AS$97,MATCH(X38,WORLDCUP!$AI$6:$AI$97,0))</f>
        <v>3-5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-8</v>
      </c>
      <c r="K39" s="479" t="str">
        <f ca="1">+INDEX(WORLDCUP!$AR$6:$AR$97,MATCH(L39,WORLDCUP!$AI$6:$AI$97,0))&amp;"-"&amp;INDEX(WORLDCUP!$AS$6:$AS$97,MATCH(L39,WORLDCUP!$AI$6:$AI$97,0))</f>
        <v>1-9</v>
      </c>
      <c r="L39" s="181" t="s">
        <v>675</v>
      </c>
      <c r="M39" s="181">
        <v>71</v>
      </c>
      <c r="N39" s="561"/>
      <c r="O39" s="444" t="str">
        <f ca="1">+MID(INDEX(WORLDCUP!$AA$4:$AA$147,MATCH(M39,WORLDCUP!$AH$4:$AH$147,0)),1,3)</f>
        <v>Col</v>
      </c>
      <c r="P39" s="445">
        <f>IF(ISBLANK(INDEX(WORLDCUP!$AC$4:$AC$147,MATCH(M39,WORLDCUP!$AH$4:$AH$147,0))),"",INDEX(WORLDCUP!$AC$4:$AC$147,MATCH(M39,WORLDCUP!$AH$4:$AH$147,0)))</f>
        <v>2</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2-7</v>
      </c>
      <c r="X39" s="181" t="s">
        <v>693</v>
      </c>
      <c r="Y39" s="181">
        <v>86</v>
      </c>
      <c r="Z39" s="425" t="s">
        <v>688</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3</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Irá</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3</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3</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Irá</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Jap</v>
      </c>
      <c r="I44" s="449">
        <f ca="1">+INDEX(WORLDCUP!$AM$6:$AM$97,MATCH(L44,WORLDCUP!$AI$6:$AI$97,0))</f>
        <v>9</v>
      </c>
      <c r="J44" s="450">
        <f ca="1">+INDEX(WORLDCUP!$AT$6:$AT$97,MATCH(L44,WORLDCUP!$AI$6:$AI$97,0))</f>
        <v>5</v>
      </c>
      <c r="K44" s="451" t="str">
        <f ca="1">+INDEX(WORLDCUP!$AR$6:$AR$97,MATCH(L44,WORLDCUP!$AI$6:$AI$97,0))&amp;"-"&amp;INDEX(WORLDCUP!$AS$6:$AS$97,MATCH(L44,WORLDCUP!$AI$6:$AI$97,0))</f>
        <v>8-3</v>
      </c>
      <c r="L44" s="181" t="s">
        <v>676</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7-2</v>
      </c>
      <c r="X44" s="181" t="s">
        <v>694</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Paí</v>
      </c>
      <c r="I45" s="38">
        <f ca="1">+INDEX(WORLDCUP!$AM$6:$AM$97,MATCH(L45,WORLDCUP!$AI$6:$AI$97,0))</f>
        <v>6</v>
      </c>
      <c r="J45" s="39">
        <f ca="1">+INDEX(WORLDCUP!$AT$6:$AT$97,MATCH(L45,WORLDCUP!$AI$6:$AI$97,0))</f>
        <v>2</v>
      </c>
      <c r="K45" s="43" t="str">
        <f ca="1">+INDEX(WORLDCUP!$AR$6:$AR$97,MATCH(L45,WORLDCUP!$AI$6:$AI$97,0))&amp;"-"&amp;INDEX(WORLDCUP!$AS$6:$AS$97,MATCH(L45,WORLDCUP!$AI$6:$AI$97,0))</f>
        <v>7-5</v>
      </c>
      <c r="L45" s="181" t="s">
        <v>677</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5-3</v>
      </c>
      <c r="X45" s="181" t="s">
        <v>695</v>
      </c>
      <c r="Y45" s="181">
        <v>85</v>
      </c>
      <c r="Z45" s="425" t="s">
        <v>660</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3-4</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2-3</v>
      </c>
      <c r="X46" s="181" t="s">
        <v>453</v>
      </c>
      <c r="Y46" s="181">
        <v>85</v>
      </c>
      <c r="Z46" s="425" t="s">
        <v>740</v>
      </c>
      <c r="AA46" s="426" t="str">
        <f ca="1">+MID(INDEX(WORLDCUP!$AF$101:$AF$147,MATCH(Y46,WORLDCUP!$Z$101:$Z$147,0)),1,IF(WORLDCUP!$H$113&lt;144,6,3))</f>
        <v>Egi</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( 3 )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-6</v>
      </c>
      <c r="K47" s="479" t="str">
        <f ca="1">+INDEX(WORLDCUP!$AR$6:$AR$97,MATCH(L47,WORLDCUP!$AI$6:$AI$97,0))&amp;"-"&amp;INDEX(WORLDCUP!$AS$6:$AS$97,MATCH(L47,WORLDCUP!$AI$6:$AI$97,0))</f>
        <v>2-8</v>
      </c>
      <c r="L47" s="181" t="s">
        <v>678</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-6</v>
      </c>
      <c r="W47" s="479" t="str">
        <f ca="1">+INDEX(WORLDCUP!$AR$6:$AR$97,MATCH(X47,WORLDCUP!$AI$6:$AI$97,0))&amp;"-"&amp;INDEX(WORLDCUP!$AS$6:$AS$97,MATCH(X47,WORLDCUP!$AI$6:$AI$97,0))</f>
        <v>1-7</v>
      </c>
      <c r="X47" s="181" t="s">
        <v>696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( 4 )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1</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6"/>
    <col min="4" max="4" width="17.28515625" style="16" bestFit="1" customWidth="1"/>
    <col min="5" max="6" width="10.7109375" style="16"/>
    <col min="7" max="7" width="17.28515625" style="16" bestFit="1" customWidth="1"/>
    <col min="8" max="8" width="13" style="16" customWidth="1"/>
    <col min="9" max="9" width="10.7109375" style="16"/>
    <col min="10" max="10" width="13" style="16" bestFit="1" customWidth="1"/>
    <col min="11" max="12" width="12.28515625" style="16" bestFit="1" customWidth="1"/>
    <col min="13" max="16384" width="10.7109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c r="B6" s="606"/>
      <c r="D6" s="16" t="str">
        <f t="shared" si="0"/>
        <v>Predictor Equipos</v>
      </c>
      <c r="E6" s="16" t="s">
        <v>23</v>
      </c>
      <c r="G6" s="582" t="s">
        <v>1303</v>
      </c>
      <c r="H6" s="582"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606"/>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93"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82" t="s">
        <v>1238</v>
      </c>
      <c r="H67" s="582" t="s">
        <v>1239</v>
      </c>
    </row>
    <row r="68" spans="3:8">
      <c r="D68" s="16" t="str">
        <f t="shared" si="2"/>
        <v xml:space="preserve">Grupos mejores 3ºs: </v>
      </c>
      <c r="E68" s="16" t="s">
        <v>490</v>
      </c>
      <c r="G68" s="582" t="s">
        <v>1347</v>
      </c>
      <c r="H68" s="582"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1515</v>
      </c>
      <c r="H107" s="16" t="s">
        <v>1412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82" t="s">
        <v>1419</v>
      </c>
      <c r="H121" s="582" t="s">
        <v>1420</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82"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82" t="s">
        <v>227</v>
      </c>
    </row>
    <row r="259" spans="4:8">
      <c r="D259" s="16" t="str">
        <f t="shared" si="9"/>
        <v>Cuartos de final</v>
      </c>
      <c r="E259" s="16" t="s">
        <v>1248</v>
      </c>
      <c r="G259" s="16" t="s">
        <v>71</v>
      </c>
      <c r="H259" s="582" t="s">
        <v>226</v>
      </c>
    </row>
    <row r="260" spans="4:8">
      <c r="D260" s="16" t="str">
        <f t="shared" si="9"/>
        <v>Octavos de final</v>
      </c>
      <c r="E260" s="16" t="s">
        <v>1248</v>
      </c>
      <c r="G260" s="16" t="s">
        <v>88</v>
      </c>
      <c r="H260" s="582"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82" t="s">
        <v>1250</v>
      </c>
    </row>
    <row r="263" spans="4:8">
      <c r="D263" s="16" t="str">
        <f t="shared" si="9"/>
        <v>Pronóstica la ronda</v>
      </c>
      <c r="E263" s="16" t="s">
        <v>1248</v>
      </c>
      <c r="G263" s="582" t="s">
        <v>1242</v>
      </c>
      <c r="H263" s="582" t="s">
        <v>1243</v>
      </c>
    </row>
    <row r="264" spans="4:8">
      <c r="D264" s="16" t="str">
        <f t="shared" si="9"/>
        <v>Predice la selección</v>
      </c>
      <c r="E264" s="16" t="s">
        <v>1248</v>
      </c>
      <c r="G264" s="582" t="s">
        <v>1251</v>
      </c>
      <c r="H264" s="582" t="s">
        <v>1252</v>
      </c>
    </row>
    <row r="265" spans="4:8">
      <c r="D265" s="16" t="str">
        <f t="shared" si="9"/>
        <v>Ronda</v>
      </c>
      <c r="E265" s="16" t="s">
        <v>1248</v>
      </c>
      <c r="G265" s="582" t="s">
        <v>1244</v>
      </c>
      <c r="H265" s="582" t="s">
        <v>1245</v>
      </c>
    </row>
    <row r="266" spans="4:8">
      <c r="D266" s="16" t="str">
        <f t="shared" si="9"/>
        <v>·Selecciona para cada ronda el la selección o selecciones que crees que van a llegar hasta esa ronda.</v>
      </c>
      <c r="E266" s="16" t="s">
        <v>1248</v>
      </c>
      <c r="G266" s="16" t="s">
        <v>1253</v>
      </c>
      <c r="H266" s="582" t="s">
        <v>1259</v>
      </c>
    </row>
    <row r="267" spans="4:8">
      <c r="D267" s="16" t="str">
        <f t="shared" si="9"/>
        <v>·Una vez elijas una selección, dejará de aparecer en la lista</v>
      </c>
      <c r="E267" s="16" t="s">
        <v>1248</v>
      </c>
      <c r="G267" s="16" t="s">
        <v>1260</v>
      </c>
      <c r="H267" s="582" t="s">
        <v>1258</v>
      </c>
    </row>
    <row r="268" spans="4:8">
      <c r="D268" s="16" t="str">
        <f t="shared" si="9"/>
        <v xml:space="preserve">·Si has rellenado todos y quieres hacer un cambio, </v>
      </c>
      <c r="E268" s="16" t="s">
        <v>1248</v>
      </c>
      <c r="G268" s="16" t="s">
        <v>1246</v>
      </c>
      <c r="H268" s="582" t="s">
        <v>1247</v>
      </c>
    </row>
    <row r="269" spans="4:8">
      <c r="D269" s="16" t="str">
        <f t="shared" si="9"/>
        <v xml:space="preserve"> borra las selecciones que quieras cambiar y podrás volver a elegirlas</v>
      </c>
      <c r="E269" s="16" t="s">
        <v>1248</v>
      </c>
      <c r="G269" s="16" t="s">
        <v>1254</v>
      </c>
      <c r="H269" s="582" t="s">
        <v>1257</v>
      </c>
    </row>
    <row r="270" spans="4:8">
      <c r="D270" s="16" t="str">
        <f t="shared" si="9"/>
        <v>Rellenar antes del comienzo del Mundial</v>
      </c>
      <c r="E270" s="16" t="s">
        <v>1248</v>
      </c>
      <c r="G270" s="16" t="s">
        <v>1255</v>
      </c>
      <c r="H270" s="582"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6" bestFit="1" customWidth="1"/>
    <col min="2" max="2" width="6" style="16" bestFit="1" customWidth="1"/>
    <col min="3" max="13" width="10.7109375" style="16"/>
    <col min="14" max="14" width="9.42578125" style="16" bestFit="1" customWidth="1"/>
    <col min="15" max="15" width="6.42578125" style="16" bestFit="1" customWidth="1"/>
    <col min="16" max="16384" width="10.7109375" style="16"/>
  </cols>
  <sheetData>
    <row r="1" spans="1:23">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c r="A2" s="9" t="s">
        <v>489</v>
      </c>
      <c r="B2" s="9">
        <f ca="1">+IF(A2=WORLDCUP!$BI$112,1,0)</f>
        <v>0</v>
      </c>
      <c r="C2" s="9" t="str">
        <f ca="1">+WORLDCUP!BD62</f>
        <v>Costa de Marfil</v>
      </c>
      <c r="D2" s="9" t="str">
        <f ca="1">+WORLDCUP!BD67</f>
        <v>Jordania</v>
      </c>
      <c r="E2" s="9" t="str">
        <f ca="1">+WORLDCUP!BD66</f>
        <v>Senegal</v>
      </c>
      <c r="F2" s="9" t="str">
        <f ca="1">+WORLDCUP!BD63</f>
        <v>Suecia</v>
      </c>
      <c r="G2" s="9" t="str">
        <f ca="1">+WORLDCUP!BD65</f>
        <v>Arabia Saudita</v>
      </c>
      <c r="H2" s="9" t="str">
        <f ca="1">+WORLDCUP!BD64</f>
        <v>Egipto</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Paraguay</v>
      </c>
      <c r="G3" s="9" t="str">
        <f ca="1">+WORLDCUP!BD67</f>
        <v>Jordania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Jordania</v>
      </c>
      <c r="E4" s="9" t="str">
        <f ca="1">+WORLDCUP!BD66</f>
        <v>Senegal</v>
      </c>
      <c r="F4" s="9" t="str">
        <f ca="1">+WORLDCUP!BD61</f>
        <v>Paraguay</v>
      </c>
      <c r="G4" s="9" t="str">
        <f ca="1">+WORLDCUP!BD65</f>
        <v>Arabia Saudita</v>
      </c>
      <c r="H4" s="9" t="str">
        <f ca="1">+WORLDCUP!BD64</f>
        <v>Egipto</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Jordania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Egipto</v>
      </c>
      <c r="E6" s="9" t="str">
        <f ca="1">+WORLDCUP!BD66</f>
        <v>Senegal</v>
      </c>
      <c r="F6" s="9" t="str">
        <f ca="1">+WORLDCUP!BD61</f>
        <v>Paraguay</v>
      </c>
      <c r="G6" s="9" t="str">
        <f ca="1">+WORLDCUP!BD67</f>
        <v>Jordania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Egipto</v>
      </c>
      <c r="E7" s="9" t="str">
        <f ca="1">+WORLDCUP!BD67</f>
        <v>Jordania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Jordania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Jordania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Escocia</v>
      </c>
      <c r="G11" s="9" t="str">
        <f ca="1">+WORLDCUP!BD67</f>
        <v>Jordania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Egipto</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Egipto</v>
      </c>
      <c r="E14" s="9" t="str">
        <f ca="1">+WORLDCUP!BD66</f>
        <v>Senegal</v>
      </c>
      <c r="F14" s="9" t="str">
        <f ca="1">+WORLDCUP!BD60</f>
        <v>Escocia</v>
      </c>
      <c r="G14" s="9" t="str">
        <f ca="1">+WORLDCUP!BD67</f>
        <v>Jordania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Egipto</v>
      </c>
      <c r="E15" s="9" t="str">
        <f ca="1">+WORLDCUP!BD67</f>
        <v>Jordania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Egipto</v>
      </c>
      <c r="E17" s="9" t="str">
        <f ca="1">+WORLDCUP!BD67</f>
        <v>Jordania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Egipto</v>
      </c>
      <c r="E18" s="9" t="str">
        <f ca="1">+WORLDCUP!BD67</f>
        <v>Jordania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Escocia</v>
      </c>
      <c r="G19" s="9" t="str">
        <f ca="1">+WORLDCUP!BD67</f>
        <v>Jordania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Jordania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Egipto</v>
      </c>
      <c r="E21" s="9" t="str">
        <f ca="1">+WORLDCUP!BD66</f>
        <v>Senegal</v>
      </c>
      <c r="F21" s="9" t="str">
        <f ca="1">+WORLDCUP!BD61</f>
        <v>Paraguay</v>
      </c>
      <c r="G21" s="9" t="str">
        <f ca="1">+WORLDCUP!BD67</f>
        <v>Jordania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Egipto</v>
      </c>
      <c r="E22" s="9" t="str">
        <f ca="1">+WORLDCUP!BD67</f>
        <v>Jordania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1</v>
      </c>
      <c r="C23" s="9" t="str">
        <f ca="1">+WORLDCUP!BD60</f>
        <v>Escocia</v>
      </c>
      <c r="D23" s="9" t="str">
        <f ca="1">+WORLDCUP!BD64</f>
        <v>Egipto</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Egipto</v>
      </c>
      <c r="E24" s="9" t="str">
        <f ca="1">+WORLDCUP!BD67</f>
        <v>Jordania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Egipto</v>
      </c>
      <c r="E25" s="9" t="str">
        <f ca="1">+WORLDCUP!BD67</f>
        <v>Jordania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Egipto</v>
      </c>
      <c r="E27" s="9" t="str">
        <f ca="1">+WORLDCUP!BD66</f>
        <v>Senegal</v>
      </c>
      <c r="F27" s="9" t="str">
        <f ca="1">+WORLDCUP!BD60</f>
        <v>Escocia</v>
      </c>
      <c r="G27" s="9" t="str">
        <f ca="1">+WORLDCUP!BD67</f>
        <v>Jordania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Egipto</v>
      </c>
      <c r="E28" s="9" t="str">
        <f ca="1">+WORLDCUP!BD67</f>
        <v>Jordania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Egipto</v>
      </c>
      <c r="E30" s="9" t="str">
        <f ca="1">+WORLDCUP!BD67</f>
        <v>Jordania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Egipto</v>
      </c>
      <c r="E31" s="9" t="str">
        <f ca="1">+WORLDCUP!BD67</f>
        <v>Jordania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Jordania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Jordania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Jordania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Jordania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Egipto</v>
      </c>
      <c r="E37" s="9" t="str">
        <f ca="1">+WORLDCUP!BD62</f>
        <v>Costa de Marfil</v>
      </c>
      <c r="F37" s="9" t="str">
        <f ca="1">+WORLDCUP!BD61</f>
        <v>Paraguay</v>
      </c>
      <c r="G37" s="9" t="str">
        <f ca="1">+WORLDCUP!BD67</f>
        <v>Jordania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Egipto</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Egipto</v>
      </c>
      <c r="E39" s="9" t="str">
        <f ca="1">+WORLDCUP!BD62</f>
        <v>Costa de Marfil</v>
      </c>
      <c r="F39" s="9" t="str">
        <f ca="1">+WORLDCUP!BD61</f>
        <v>Paraguay</v>
      </c>
      <c r="G39" s="9" t="str">
        <f ca="1">+WORLDCUP!BD67</f>
        <v>Jordania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Egipto</v>
      </c>
      <c r="E40" s="9" t="str">
        <f ca="1">+WORLDCUP!BD62</f>
        <v>Costa de Marfil</v>
      </c>
      <c r="F40" s="9" t="str">
        <f ca="1">+WORLDCUP!BD61</f>
        <v>Paraguay</v>
      </c>
      <c r="G40" s="9" t="str">
        <f ca="1">+WORLDCUP!BD67</f>
        <v>Jordania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Jordania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Jordania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Jordania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Jordania</v>
      </c>
      <c r="E47" s="9" t="str">
        <f ca="1">+WORLDCUP!BD59</f>
        <v>Catar</v>
      </c>
      <c r="F47" s="9" t="str">
        <f ca="1">+WORLDCUP!BD63</f>
        <v>Suecia</v>
      </c>
      <c r="G47" s="9" t="str">
        <f ca="1">+WORLDCUP!BD66</f>
        <v>Senegal</v>
      </c>
      <c r="H47" s="9" t="str">
        <f ca="1">+WORLDCUP!BD64</f>
        <v>Egipto</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Jordania</v>
      </c>
      <c r="E48" s="9" t="str">
        <f ca="1">+WORLDCUP!BD66</f>
        <v>Senegal</v>
      </c>
      <c r="F48" s="9" t="str">
        <f ca="1">+WORLDCUP!BD59</f>
        <v>Catar</v>
      </c>
      <c r="G48" s="9" t="str">
        <f ca="1">+WORLDCUP!BD65</f>
        <v>Arabia Saudita</v>
      </c>
      <c r="H48" s="9" t="str">
        <f ca="1">+WORLDCUP!BD64</f>
        <v>Egipto</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Jordania</v>
      </c>
      <c r="E49" s="9" t="str">
        <f ca="1">+WORLDCUP!BD59</f>
        <v>Catar</v>
      </c>
      <c r="F49" s="9" t="str">
        <f ca="1">+WORLDCUP!BD63</f>
        <v>Suecia</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Jordania</v>
      </c>
      <c r="E50" s="9" t="str">
        <f ca="1">+WORLDCUP!BD59</f>
        <v>Catar</v>
      </c>
      <c r="F50" s="9" t="str">
        <f ca="1">+WORLDCUP!BD63</f>
        <v>Suecia</v>
      </c>
      <c r="G50" s="9" t="str">
        <f ca="1">+WORLDCUP!BD66</f>
        <v>Senegal</v>
      </c>
      <c r="H50" s="9" t="str">
        <f ca="1">+WORLDCUP!BD64</f>
        <v>Egipto</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Jordania</v>
      </c>
      <c r="E51" s="9" t="str">
        <f ca="1">+WORLDCUP!BD59</f>
        <v>Catar</v>
      </c>
      <c r="F51" s="9" t="str">
        <f ca="1">+WORLDCUP!BD63</f>
        <v>Suecia</v>
      </c>
      <c r="G51" s="9" t="str">
        <f ca="1">+WORLDCUP!BD65</f>
        <v>Arabia Saudita</v>
      </c>
      <c r="H51" s="9" t="str">
        <f ca="1">+WORLDCUP!BD64</f>
        <v>Egipto</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Egipto</v>
      </c>
      <c r="E52" s="9" t="str">
        <f ca="1">+WORLDCUP!BD59</f>
        <v>Catar</v>
      </c>
      <c r="F52" s="9" t="str">
        <f ca="1">+WORLDCUP!BD63</f>
        <v>Suecia</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Jordania</v>
      </c>
      <c r="E53" s="9" t="str">
        <f ca="1">+WORLDCUP!BD59</f>
        <v>Catar</v>
      </c>
      <c r="F53" s="9" t="str">
        <f ca="1">+WORLDCUP!BD63</f>
        <v>Suecia</v>
      </c>
      <c r="G53" s="9" t="str">
        <f ca="1">+WORLDCUP!BD65</f>
        <v>Arabia Saudita</v>
      </c>
      <c r="H53" s="9" t="str">
        <f ca="1">+WORLDCUP!BD64</f>
        <v>Egipto</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Jordania</v>
      </c>
      <c r="E54" s="9" t="str">
        <f ca="1">+WORLDCUP!BD59</f>
        <v>Catar</v>
      </c>
      <c r="F54" s="9" t="str">
        <f ca="1">+WORLDCUP!BD63</f>
        <v>Suecia</v>
      </c>
      <c r="G54" s="9" t="str">
        <f ca="1">+WORLDCUP!BD65</f>
        <v>Arabia Saudita</v>
      </c>
      <c r="H54" s="9" t="str">
        <f ca="1">+WORLDCUP!BD64</f>
        <v>Egipto</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Jordania</v>
      </c>
      <c r="E55" s="9" t="str">
        <f ca="1">+WORLDCUP!BD59</f>
        <v>Catar</v>
      </c>
      <c r="F55" s="9" t="str">
        <f ca="1">+WORLDCUP!BD61</f>
        <v>Paraguay</v>
      </c>
      <c r="G55" s="9" t="str">
        <f ca="1">+WORLDCUP!BD66</f>
        <v>Senegal</v>
      </c>
      <c r="H55" s="9" t="str">
        <f ca="1">+WORLDCUP!BD64</f>
        <v>Egipto</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Jordania</v>
      </c>
      <c r="E56" s="9" t="str">
        <f ca="1">+WORLDCUP!BD59</f>
        <v>Catar</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Catar</v>
      </c>
      <c r="F57" s="9" t="str">
        <f ca="1">+WORLDCUP!BD61</f>
        <v>Paraguay</v>
      </c>
      <c r="G57" s="9" t="str">
        <f ca="1">+WORLDCUP!BD67</f>
        <v>Jordania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Catar</v>
      </c>
      <c r="F58" s="9" t="str">
        <f ca="1">+WORLDCUP!BD61</f>
        <v>Paraguay</v>
      </c>
      <c r="G58" s="9" t="str">
        <f ca="1">+WORLDCUP!BD67</f>
        <v>Jordania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Catar</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Catar</v>
      </c>
      <c r="F60" s="9" t="str">
        <f ca="1">+WORLDCUP!BD61</f>
        <v>Paraguay</v>
      </c>
      <c r="G60" s="9" t="str">
        <f ca="1">+WORLDCUP!BD67</f>
        <v>Jordania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Catar</v>
      </c>
      <c r="F61" s="9" t="str">
        <f ca="1">+WORLDCUP!BD61</f>
        <v>Paraguay</v>
      </c>
      <c r="G61" s="9" t="str">
        <f ca="1">+WORLDCUP!BD67</f>
        <v>Jordania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Jordania</v>
      </c>
      <c r="E62" s="9" t="str">
        <f ca="1">+WORLDCUP!BD59</f>
        <v>Catar</v>
      </c>
      <c r="F62" s="9" t="str">
        <f ca="1">+WORLDCUP!BD61</f>
        <v>Paraguay</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Jordania</v>
      </c>
      <c r="E63" s="9" t="str">
        <f ca="1">+WORLDCUP!BD59</f>
        <v>Catar</v>
      </c>
      <c r="F63" s="9" t="str">
        <f ca="1">+WORLDCUP!BD61</f>
        <v>Paraguay</v>
      </c>
      <c r="G63" s="9" t="str">
        <f ca="1">+WORLDCUP!BD66</f>
        <v>Senegal</v>
      </c>
      <c r="H63" s="9" t="str">
        <f ca="1">+WORLDCUP!BD64</f>
        <v>Egipto</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Jordania</v>
      </c>
      <c r="E64" s="9" t="str">
        <f ca="1">+WORLDCUP!BD59</f>
        <v>Catar</v>
      </c>
      <c r="F64" s="9" t="str">
        <f ca="1">+WORLDCUP!BD61</f>
        <v>Paraguay</v>
      </c>
      <c r="G64" s="9" t="str">
        <f ca="1">+WORLDCUP!BD65</f>
        <v>Arabia Saudita</v>
      </c>
      <c r="H64" s="9" t="str">
        <f ca="1">+WORLDCUP!BD64</f>
        <v>Egipto</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Egipto</v>
      </c>
      <c r="E65" s="9" t="str">
        <f ca="1">+WORLDCUP!BD59</f>
        <v>Catar</v>
      </c>
      <c r="F65" s="9" t="str">
        <f ca="1">+WORLDCUP!BD61</f>
        <v>Paraguay</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Jordania</v>
      </c>
      <c r="E66" s="9" t="str">
        <f ca="1">+WORLDCUP!BD59</f>
        <v>Catar</v>
      </c>
      <c r="F66" s="9" t="str">
        <f ca="1">+WORLDCUP!BD61</f>
        <v>Paraguay</v>
      </c>
      <c r="G66" s="9" t="str">
        <f ca="1">+WORLDCUP!BD65</f>
        <v>Arabia Saudita</v>
      </c>
      <c r="H66" s="9" t="str">
        <f ca="1">+WORLDCUP!BD64</f>
        <v>Egipto</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Jordania</v>
      </c>
      <c r="E67" s="9" t="str">
        <f ca="1">+WORLDCUP!BD59</f>
        <v>Catar</v>
      </c>
      <c r="F67" s="9" t="str">
        <f ca="1">+WORLDCUP!BD61</f>
        <v>Paraguay</v>
      </c>
      <c r="G67" s="9" t="str">
        <f ca="1">+WORLDCUP!BD65</f>
        <v>Arabia Saudita</v>
      </c>
      <c r="H67" s="9" t="str">
        <f ca="1">+WORLDCUP!BD64</f>
        <v>Egipto</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Jordania</v>
      </c>
      <c r="E68" s="9" t="str">
        <f ca="1">+WORLDCUP!BD59</f>
        <v>Catar</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Jordania</v>
      </c>
      <c r="E69" s="9" t="str">
        <f ca="1">+WORLDCUP!BD59</f>
        <v>Catar</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Catar</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Jordania</v>
      </c>
      <c r="E71" s="9" t="str">
        <f ca="1">+WORLDCUP!BD59</f>
        <v>Catar</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Jordania</v>
      </c>
      <c r="E72" s="9" t="str">
        <f ca="1">+WORLDCUP!BD59</f>
        <v>Catar</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Egipto</v>
      </c>
      <c r="E73" s="9" t="str">
        <f ca="1">+WORLDCUP!BD59</f>
        <v>Catar</v>
      </c>
      <c r="F73" s="9" t="str">
        <f ca="1">+WORLDCUP!BD61</f>
        <v>Paraguay</v>
      </c>
      <c r="G73" s="9" t="str">
        <f ca="1">+WORLDCUP!BD67</f>
        <v>Jordania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Egipto</v>
      </c>
      <c r="E74" s="9" t="str">
        <f ca="1">+WORLDCUP!BD59</f>
        <v>Catar</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Egipto</v>
      </c>
      <c r="E75" s="9" t="str">
        <f ca="1">+WORLDCUP!BD59</f>
        <v>Catar</v>
      </c>
      <c r="F75" s="9" t="str">
        <f ca="1">+WORLDCUP!BD61</f>
        <v>Paraguay</v>
      </c>
      <c r="G75" s="9" t="str">
        <f ca="1">+WORLDCUP!BD67</f>
        <v>Jordania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Egipto</v>
      </c>
      <c r="E76" s="9" t="str">
        <f ca="1">+WORLDCUP!BD59</f>
        <v>Catar</v>
      </c>
      <c r="F76" s="9" t="str">
        <f ca="1">+WORLDCUP!BD61</f>
        <v>Paraguay</v>
      </c>
      <c r="G76" s="9" t="str">
        <f ca="1">+WORLDCUP!BD67</f>
        <v>Jordania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Egipto</v>
      </c>
      <c r="E77" s="9" t="str">
        <f ca="1">+WORLDCUP!BD59</f>
        <v>Catar</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Catar</v>
      </c>
      <c r="F78" s="9" t="str">
        <f ca="1">+WORLDCUP!BD61</f>
        <v>Paraguay</v>
      </c>
      <c r="G78" s="9" t="str">
        <f ca="1">+WORLDCUP!BD67</f>
        <v>Jordania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Catar</v>
      </c>
      <c r="F79" s="9" t="str">
        <f ca="1">+WORLDCUP!BD61</f>
        <v>Paraguay</v>
      </c>
      <c r="G79" s="9" t="str">
        <f ca="1">+WORLDCUP!BD67</f>
        <v>Jordania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Egipto</v>
      </c>
      <c r="E80" s="9" t="str">
        <f ca="1">+WORLDCUP!BD59</f>
        <v>Catar</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Egipto</v>
      </c>
      <c r="E81" s="9" t="str">
        <f ca="1">+WORLDCUP!BD59</f>
        <v>Catar</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Catar</v>
      </c>
      <c r="F82" s="9" t="str">
        <f ca="1">+WORLDCUP!BD61</f>
        <v>Paraguay</v>
      </c>
      <c r="G82" s="9" t="str">
        <f ca="1">+WORLDCUP!BD67</f>
        <v>Jordania</v>
      </c>
      <c r="H82" s="9" t="str">
        <f ca="1">+WORLDCUP!BD63</f>
        <v>Suecia</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Jordania</v>
      </c>
      <c r="E83" s="9" t="str">
        <f ca="1">+WORLDCUP!BD59</f>
        <v>Catar</v>
      </c>
      <c r="F83" s="9" t="str">
        <f ca="1">+WORLDCUP!BD60</f>
        <v>Escocia</v>
      </c>
      <c r="G83" s="9" t="str">
        <f ca="1">+WORLDCUP!BD66</f>
        <v>Senegal</v>
      </c>
      <c r="H83" s="9" t="str">
        <f ca="1">+WORLDCUP!BD64</f>
        <v>Egipto</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Jordania</v>
      </c>
      <c r="E84" s="9" t="str">
        <f ca="1">+WORLDCUP!BD59</f>
        <v>Catar</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Catar</v>
      </c>
      <c r="F85" s="9" t="str">
        <f ca="1">+WORLDCUP!BD60</f>
        <v>Escocia</v>
      </c>
      <c r="G85" s="9" t="str">
        <f ca="1">+WORLDCUP!BD67</f>
        <v>Jordania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Catar</v>
      </c>
      <c r="F86" s="9" t="str">
        <f ca="1">+WORLDCUP!BD60</f>
        <v>Escocia</v>
      </c>
      <c r="G86" s="9" t="str">
        <f ca="1">+WORLDCUP!BD67</f>
        <v>Jordania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Catar</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Catar</v>
      </c>
      <c r="F88" s="9" t="str">
        <f ca="1">+WORLDCUP!BD60</f>
        <v>Escocia</v>
      </c>
      <c r="G88" s="9" t="str">
        <f ca="1">+WORLDCUP!BD67</f>
        <v>Jordania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Catar</v>
      </c>
      <c r="F89" s="9" t="str">
        <f ca="1">+WORLDCUP!BD60</f>
        <v>Escocia</v>
      </c>
      <c r="G89" s="9" t="str">
        <f ca="1">+WORLDCUP!BD67</f>
        <v>Jordania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Jordania</v>
      </c>
      <c r="E90" s="9" t="str">
        <f ca="1">+WORLDCUP!BD59</f>
        <v>Catar</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Jordania</v>
      </c>
      <c r="E91" s="9" t="str">
        <f ca="1">+WORLDCUP!BD59</f>
        <v>Catar</v>
      </c>
      <c r="F91" s="9" t="str">
        <f ca="1">+WORLDCUP!BD60</f>
        <v>Escocia</v>
      </c>
      <c r="G91" s="9" t="str">
        <f ca="1">+WORLDCUP!BD66</f>
        <v>Senegal</v>
      </c>
      <c r="H91" s="9" t="str">
        <f ca="1">+WORLDCUP!BD64</f>
        <v>Egipto</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Jordania</v>
      </c>
      <c r="E92" s="9" t="str">
        <f ca="1">+WORLDCUP!BD59</f>
        <v>Catar</v>
      </c>
      <c r="F92" s="9" t="str">
        <f ca="1">+WORLDCUP!BD60</f>
        <v>Escocia</v>
      </c>
      <c r="G92" s="9" t="str">
        <f ca="1">+WORLDCUP!BD65</f>
        <v>Arabia Saudita</v>
      </c>
      <c r="H92" s="9" t="str">
        <f ca="1">+WORLDCUP!BD64</f>
        <v>Egipto</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Egipto</v>
      </c>
      <c r="E93" s="9" t="str">
        <f ca="1">+WORLDCUP!BD59</f>
        <v>Catar</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Jordania</v>
      </c>
      <c r="E94" s="9" t="str">
        <f ca="1">+WORLDCUP!BD59</f>
        <v>Catar</v>
      </c>
      <c r="F94" s="9" t="str">
        <f ca="1">+WORLDCUP!BD60</f>
        <v>Escocia</v>
      </c>
      <c r="G94" s="9" t="str">
        <f ca="1">+WORLDCUP!BD65</f>
        <v>Arabia Saudita</v>
      </c>
      <c r="H94" s="9" t="str">
        <f ca="1">+WORLDCUP!BD64</f>
        <v>Egipto</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Jordania</v>
      </c>
      <c r="E95" s="9" t="str">
        <f ca="1">+WORLDCUP!BD59</f>
        <v>Catar</v>
      </c>
      <c r="F95" s="9" t="str">
        <f ca="1">+WORLDCUP!BD60</f>
        <v>Escocia</v>
      </c>
      <c r="G95" s="9" t="str">
        <f ca="1">+WORLDCUP!BD65</f>
        <v>Arabia Saudita</v>
      </c>
      <c r="H95" s="9" t="str">
        <f ca="1">+WORLDCUP!BD64</f>
        <v>Egipto</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Jordania</v>
      </c>
      <c r="E96" s="9" t="str">
        <f ca="1">+WORLDCUP!BD59</f>
        <v>Catar</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Jordania</v>
      </c>
      <c r="E97" s="9" t="str">
        <f ca="1">+WORLDCUP!BD59</f>
        <v>Catar</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Catar</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Jordania</v>
      </c>
      <c r="E99" s="9" t="str">
        <f ca="1">+WORLDCUP!BD59</f>
        <v>Catar</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Jordania</v>
      </c>
      <c r="E100" s="9" t="str">
        <f ca="1">+WORLDCUP!BD59</f>
        <v>Catar</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Egipto</v>
      </c>
      <c r="E101" s="9" t="str">
        <f ca="1">+WORLDCUP!BD59</f>
        <v>Catar</v>
      </c>
      <c r="F101" s="9" t="str">
        <f ca="1">+WORLDCUP!BD60</f>
        <v>Escocia</v>
      </c>
      <c r="G101" s="9" t="str">
        <f ca="1">+WORLDCUP!BD67</f>
        <v>Jordania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Egipto</v>
      </c>
      <c r="E102" s="9" t="str">
        <f ca="1">+WORLDCUP!BD59</f>
        <v>Catar</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Egipto</v>
      </c>
      <c r="E103" s="9" t="str">
        <f ca="1">+WORLDCUP!BD59</f>
        <v>Catar</v>
      </c>
      <c r="F103" s="9" t="str">
        <f ca="1">+WORLDCUP!BD60</f>
        <v>Escocia</v>
      </c>
      <c r="G103" s="9" t="str">
        <f ca="1">+WORLDCUP!BD67</f>
        <v>Jordania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Egipto</v>
      </c>
      <c r="E104" s="9" t="str">
        <f ca="1">+WORLDCUP!BD59</f>
        <v>Catar</v>
      </c>
      <c r="F104" s="9" t="str">
        <f ca="1">+WORLDCUP!BD60</f>
        <v>Escocia</v>
      </c>
      <c r="G104" s="9" t="str">
        <f ca="1">+WORLDCUP!BD67</f>
        <v>Jordania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Egipto</v>
      </c>
      <c r="E105" s="9" t="str">
        <f ca="1">+WORLDCUP!BD59</f>
        <v>Catar</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Catar</v>
      </c>
      <c r="F106" s="9" t="str">
        <f ca="1">+WORLDCUP!BD60</f>
        <v>Escocia</v>
      </c>
      <c r="G106" s="9" t="str">
        <f ca="1">+WORLDCUP!BD67</f>
        <v>Jordania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Catar</v>
      </c>
      <c r="F107" s="9" t="str">
        <f ca="1">+WORLDCUP!BD60</f>
        <v>Escocia</v>
      </c>
      <c r="G107" s="9" t="str">
        <f ca="1">+WORLDCUP!BD67</f>
        <v>Jordania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Egipto</v>
      </c>
      <c r="E108" s="9" t="str">
        <f ca="1">+WORLDCUP!BD59</f>
        <v>Catar</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Egipto</v>
      </c>
      <c r="E109" s="9" t="str">
        <f ca="1">+WORLDCUP!BD59</f>
        <v>Catar</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Catar</v>
      </c>
      <c r="F110" s="9" t="str">
        <f ca="1">+WORLDCUP!BD60</f>
        <v>Escocia</v>
      </c>
      <c r="G110" s="9" t="str">
        <f ca="1">+WORLDCUP!BD67</f>
        <v>Jordania</v>
      </c>
      <c r="H110" s="9" t="str">
        <f ca="1">+WORLDCUP!BD63</f>
        <v>Suecia</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Jordania</v>
      </c>
      <c r="E111" s="9" t="str">
        <f ca="1">+WORLDCUP!BD59</f>
        <v>Catar</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Catar</v>
      </c>
      <c r="F112" s="9" t="str">
        <f ca="1">+WORLDCUP!BD60</f>
        <v>Escocia</v>
      </c>
      <c r="G112" s="9" t="str">
        <f ca="1">+WORLDCUP!BD67</f>
        <v>Jordania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Catar</v>
      </c>
      <c r="F113" s="9" t="str">
        <f ca="1">+WORLDCUP!BD60</f>
        <v>Escocia</v>
      </c>
      <c r="G113" s="9" t="str">
        <f ca="1">+WORLDCUP!BD67</f>
        <v>Jordania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Catar</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Catar</v>
      </c>
      <c r="F115" s="9" t="str">
        <f ca="1">+WORLDCUP!BD60</f>
        <v>Escocia</v>
      </c>
      <c r="G115" s="9" t="str">
        <f ca="1">+WORLDCUP!BD67</f>
        <v>Jordania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Catar</v>
      </c>
      <c r="F116" s="9" t="str">
        <f ca="1">+WORLDCUP!BD60</f>
        <v>Escocia</v>
      </c>
      <c r="G116" s="9" t="str">
        <f ca="1">+WORLDCUP!BD67</f>
        <v>Jordania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Jordania</v>
      </c>
      <c r="E117" s="9" t="str">
        <f ca="1">+WORLDCUP!BD59</f>
        <v>Catar</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Jordania</v>
      </c>
      <c r="E118" s="9" t="str">
        <f ca="1">+WORLDCUP!BD59</f>
        <v>Catar</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Catar</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Jordania</v>
      </c>
      <c r="E120" s="9" t="str">
        <f ca="1">+WORLDCUP!BD59</f>
        <v>Catar</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Jordania</v>
      </c>
      <c r="E121" s="9" t="str">
        <f ca="1">+WORLDCUP!BD59</f>
        <v>Catar</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Egipto</v>
      </c>
      <c r="E122" s="9" t="str">
        <f ca="1">+WORLDCUP!BD59</f>
        <v>Catar</v>
      </c>
      <c r="F122" s="9" t="str">
        <f ca="1">+WORLDCUP!BD61</f>
        <v>Paraguay</v>
      </c>
      <c r="G122" s="9" t="str">
        <f ca="1">+WORLDCUP!BD67</f>
        <v>Jordania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Egipto</v>
      </c>
      <c r="E123" s="9" t="str">
        <f ca="1">+WORLDCUP!BD59</f>
        <v>Catar</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Egipto</v>
      </c>
      <c r="E124" s="9" t="str">
        <f ca="1">+WORLDCUP!BD59</f>
        <v>Catar</v>
      </c>
      <c r="F124" s="9" t="str">
        <f ca="1">+WORLDCUP!BD61</f>
        <v>Paraguay</v>
      </c>
      <c r="G124" s="9" t="str">
        <f ca="1">+WORLDCUP!BD67</f>
        <v>Jordania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Egipto</v>
      </c>
      <c r="E125" s="9" t="str">
        <f ca="1">+WORLDCUP!BD59</f>
        <v>Catar</v>
      </c>
      <c r="F125" s="9" t="str">
        <f ca="1">+WORLDCUP!BD61</f>
        <v>Paraguay</v>
      </c>
      <c r="G125" s="9" t="str">
        <f ca="1">+WORLDCUP!BD67</f>
        <v>Jordania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Egipto</v>
      </c>
      <c r="E126" s="9" t="str">
        <f ca="1">+WORLDCUP!BD59</f>
        <v>Catar</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Egipto</v>
      </c>
      <c r="E127" s="9" t="str">
        <f ca="1">+WORLDCUP!BD59</f>
        <v>Catar</v>
      </c>
      <c r="F127" s="9" t="str">
        <f ca="1">+WORLDCUP!BD61</f>
        <v>Paraguay</v>
      </c>
      <c r="G127" s="9" t="str">
        <f ca="1">+WORLDCUP!BD65</f>
        <v>Arabia Saudita</v>
      </c>
      <c r="H127" s="9" t="str">
        <f ca="1">+WORLDCUP!BD63</f>
        <v>Suecia</v>
      </c>
      <c r="I127" s="9" t="str">
        <f ca="1">+WORLDCUP!BD69</f>
        <v>Ghana</v>
      </c>
      <c r="J127" s="9" t="str">
        <f ca="1">+WORLDCUP!BD67</f>
        <v>Jordania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Catar</v>
      </c>
      <c r="F128" s="9" t="str">
        <f ca="1">+WORLDCUP!BD60</f>
        <v>Escocia</v>
      </c>
      <c r="G128" s="9" t="str">
        <f ca="1">+WORLDCUP!BD67</f>
        <v>Jordania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Egipto</v>
      </c>
      <c r="E129" s="9" t="str">
        <f ca="1">+WORLDCUP!BD59</f>
        <v>Catar</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Egipto</v>
      </c>
      <c r="E130" s="9" t="str">
        <f ca="1">+WORLDCUP!BD59</f>
        <v>Catar</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Catar</v>
      </c>
      <c r="F131" s="9" t="str">
        <f ca="1">+WORLDCUP!BD60</f>
        <v>Escocia</v>
      </c>
      <c r="G131" s="9" t="str">
        <f ca="1">+WORLDCUP!BD67</f>
        <v>Jordania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Jordania</v>
      </c>
      <c r="E132" s="9" t="str">
        <f ca="1">+WORLDCUP!BD59</f>
        <v>Catar</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Jordania</v>
      </c>
      <c r="E133" s="9" t="str">
        <f ca="1">+WORLDCUP!BD59</f>
        <v>Catar</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Catar</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Jordania</v>
      </c>
      <c r="E135" s="9" t="str">
        <f ca="1">+WORLDCUP!BD59</f>
        <v>Catar</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Jordania</v>
      </c>
      <c r="E136" s="9" t="str">
        <f ca="1">+WORLDCUP!BD59</f>
        <v>Catar</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Egipto</v>
      </c>
      <c r="E137" s="9" t="str">
        <f ca="1">+WORLDCUP!BD59</f>
        <v>Catar</v>
      </c>
      <c r="F137" s="9" t="str">
        <f ca="1">+WORLDCUP!BD60</f>
        <v>Escocia</v>
      </c>
      <c r="G137" s="9" t="str">
        <f ca="1">+WORLDCUP!BD67</f>
        <v>Jordania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Egipto</v>
      </c>
      <c r="E138" s="9" t="str">
        <f ca="1">+WORLDCUP!BD59</f>
        <v>Catar</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Egipto</v>
      </c>
      <c r="E139" s="9" t="str">
        <f ca="1">+WORLDCUP!BD59</f>
        <v>Catar</v>
      </c>
      <c r="F139" s="9" t="str">
        <f ca="1">+WORLDCUP!BD60</f>
        <v>Escocia</v>
      </c>
      <c r="G139" s="9" t="str">
        <f ca="1">+WORLDCUP!BD67</f>
        <v>Jordania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Egipto</v>
      </c>
      <c r="E140" s="9" t="str">
        <f ca="1">+WORLDCUP!BD59</f>
        <v>Catar</v>
      </c>
      <c r="F140" s="9" t="str">
        <f ca="1">+WORLDCUP!BD60</f>
        <v>Escocia</v>
      </c>
      <c r="G140" s="9" t="str">
        <f ca="1">+WORLDCUP!BD67</f>
        <v>Jordania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Egipto</v>
      </c>
      <c r="E141" s="9" t="str">
        <f ca="1">+WORLDCUP!BD59</f>
        <v>Catar</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Catar</v>
      </c>
      <c r="F142" s="9" t="str">
        <f ca="1">+WORLDCUP!BD60</f>
        <v>Escocia</v>
      </c>
      <c r="G142" s="9" t="str">
        <f ca="1">+WORLDCUP!BD67</f>
        <v>Jordania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Catar</v>
      </c>
      <c r="F143" s="9" t="str">
        <f ca="1">+WORLDCUP!BD60</f>
        <v>Escocia</v>
      </c>
      <c r="G143" s="9" t="str">
        <f ca="1">+WORLDCUP!BD67</f>
        <v>Jordania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Egipto</v>
      </c>
      <c r="E144" s="9" t="str">
        <f ca="1">+WORLDCUP!BD59</f>
        <v>Catar</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Egipto</v>
      </c>
      <c r="E145" s="9" t="str">
        <f ca="1">+WORLDCUP!BD59</f>
        <v>Catar</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Catar</v>
      </c>
      <c r="F146" s="9" t="str">
        <f ca="1">+WORLDCUP!BD60</f>
        <v>Escocia</v>
      </c>
      <c r="G146" s="9" t="str">
        <f ca="1">+WORLDCUP!BD67</f>
        <v>Jordania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Jordania</v>
      </c>
      <c r="E147" s="9" t="str">
        <f ca="1">+WORLDCUP!BD59</f>
        <v>Catar</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Catar</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Jordania</v>
      </c>
      <c r="E149" s="9" t="str">
        <f ca="1">+WORLDCUP!BD59</f>
        <v>Catar</v>
      </c>
      <c r="F149" s="9" t="str">
        <f ca="1">+WORLDCUP!BD61</f>
        <v>Paraguay</v>
      </c>
      <c r="G149" s="9" t="str">
        <f ca="1">+WORLDCUP!BD62</f>
        <v>Costa de Marfil</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Jordania</v>
      </c>
      <c r="E150" s="9" t="str">
        <f ca="1">+WORLDCUP!BD59</f>
        <v>Catar</v>
      </c>
      <c r="F150" s="9" t="str">
        <f ca="1">+WORLDCUP!BD61</f>
        <v>Paraguay</v>
      </c>
      <c r="G150" s="9" t="str">
        <f ca="1">+WORLDCUP!BD62</f>
        <v>Costa de Marfil</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Catar</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Jordania</v>
      </c>
      <c r="E152" s="9" t="str">
        <f ca="1">+WORLDCUP!BD59</f>
        <v>Catar</v>
      </c>
      <c r="F152" s="9" t="str">
        <f ca="1">+WORLDCUP!BD61</f>
        <v>Paraguay</v>
      </c>
      <c r="G152" s="9" t="str">
        <f ca="1">+WORLDCUP!BD65</f>
        <v>Arabia Saudita</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Jordania</v>
      </c>
      <c r="E153" s="9" t="str">
        <f ca="1">+WORLDCUP!BD59</f>
        <v>Catar</v>
      </c>
      <c r="F153" s="9" t="str">
        <f ca="1">+WORLDCUP!BD61</f>
        <v>Paraguay</v>
      </c>
      <c r="G153" s="9" t="str">
        <f ca="1">+WORLDCUP!BD65</f>
        <v>Arabia Saudita</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Catar</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Catar</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Jordania</v>
      </c>
      <c r="E156" s="9" t="str">
        <f ca="1">+WORLDCUP!BD59</f>
        <v>Catar</v>
      </c>
      <c r="F156" s="9" t="str">
        <f ca="1">+WORLDCUP!BD61</f>
        <v>Paraguay</v>
      </c>
      <c r="G156" s="9" t="str">
        <f ca="1">+WORLDCUP!BD65</f>
        <v>Arabia Saudita</v>
      </c>
      <c r="H156" s="9" t="str">
        <f ca="1">+WORLDCUP!BD63</f>
        <v>Suecia</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Catar</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Catar</v>
      </c>
      <c r="F158" s="9" t="str">
        <f ca="1">+WORLDCUP!BD61</f>
        <v>Paraguay</v>
      </c>
      <c r="G158" s="9" t="str">
        <f ca="1">+WORLDCUP!BD67</f>
        <v>Jordania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Catar</v>
      </c>
      <c r="F159" s="9" t="str">
        <f ca="1">+WORLDCUP!BD61</f>
        <v>Paraguay</v>
      </c>
      <c r="G159" s="9" t="str">
        <f ca="1">+WORLDCUP!BD67</f>
        <v>Jordania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Catar</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Catar</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Catar</v>
      </c>
      <c r="F162" s="9" t="str">
        <f ca="1">+WORLDCUP!BD61</f>
        <v>Paraguay</v>
      </c>
      <c r="G162" s="9" t="str">
        <f ca="1">+WORLDCUP!BD67</f>
        <v>Jordania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Catar</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Catar</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Catar</v>
      </c>
      <c r="F165" s="9" t="str">
        <f ca="1">+WORLDCUP!BD60</f>
        <v>Escocia</v>
      </c>
      <c r="G165" s="9" t="str">
        <f ca="1">+WORLDCUP!BD67</f>
        <v>Jordania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Catar</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Jordania</v>
      </c>
      <c r="E167" s="9" t="str">
        <f ca="1">+WORLDCUP!BD66</f>
        <v>Senegal</v>
      </c>
      <c r="F167" s="9" t="str">
        <f ca="1">+WORLDCUP!BD63</f>
        <v>Suecia</v>
      </c>
      <c r="G167" s="9" t="str">
        <f ca="1">+WORLDCUP!BD58</f>
        <v>República Checa</v>
      </c>
      <c r="H167" s="9" t="str">
        <f ca="1">+WORLDCUP!BD64</f>
        <v>Egipto</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Jordania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Jordania</v>
      </c>
      <c r="E170" s="9" t="str">
        <f ca="1">+WORLDCUP!BD66</f>
        <v>Senegal</v>
      </c>
      <c r="F170" s="9" t="str">
        <f ca="1">+WORLDCUP!BD63</f>
        <v>Suecia</v>
      </c>
      <c r="G170" s="9" t="str">
        <f ca="1">+WORLDCUP!BD58</f>
        <v>República Checa</v>
      </c>
      <c r="H170" s="9" t="str">
        <f ca="1">+WORLDCUP!BD64</f>
        <v>Egipto</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Egipto</v>
      </c>
      <c r="E171" s="9" t="str">
        <f ca="1">+WORLDCUP!BD67</f>
        <v>Jordania</v>
      </c>
      <c r="F171" s="9" t="str">
        <f ca="1">+WORLDCUP!BD63</f>
        <v>Suecia</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Egipto</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Egipto</v>
      </c>
      <c r="E173" s="9" t="str">
        <f ca="1">+WORLDCUP!BD67</f>
        <v>Jordania</v>
      </c>
      <c r="F173" s="9" t="str">
        <f ca="1">+WORLDCUP!BD63</f>
        <v>Suecia</v>
      </c>
      <c r="G173" s="9" t="str">
        <f ca="1">+WORLDCUP!BD58</f>
        <v>República Checa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Egipto</v>
      </c>
      <c r="E174" s="9" t="str">
        <f ca="1">+WORLDCUP!BD67</f>
        <v>Jordania</v>
      </c>
      <c r="F174" s="9" t="str">
        <f ca="1">+WORLDCUP!BD63</f>
        <v>Suecia</v>
      </c>
      <c r="G174" s="9" t="str">
        <f ca="1">+WORLDCUP!BD58</f>
        <v>República Checa</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Jordania</v>
      </c>
      <c r="E175" s="9" t="str">
        <f ca="1">+WORLDCUP!BD66</f>
        <v>Senegal</v>
      </c>
      <c r="F175" s="9" t="str">
        <f ca="1">+WORLDCUP!BD61</f>
        <v>Paraguay</v>
      </c>
      <c r="G175" s="9" t="str">
        <f ca="1">+WORLDCUP!BD58</f>
        <v>República Checa</v>
      </c>
      <c r="H175" s="9" t="str">
        <f ca="1">+WORLDCUP!BD64</f>
        <v>Egipto</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Jordania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Jordania</v>
      </c>
      <c r="F177" s="9" t="str">
        <f ca="1">+WORLDCUP!BD61</f>
        <v>Paraguay</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Jordania</v>
      </c>
      <c r="F178" s="9" t="str">
        <f ca="1">+WORLDCUP!BD61</f>
        <v>Paraguay</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Jordania</v>
      </c>
      <c r="F180" s="9" t="str">
        <f ca="1">+WORLDCUP!BD61</f>
        <v>Paraguay</v>
      </c>
      <c r="G180" s="9" t="str">
        <f ca="1">+WORLDCUP!BD58</f>
        <v>República Checa</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Jordania</v>
      </c>
      <c r="F181" s="9" t="str">
        <f ca="1">+WORLDCUP!BD61</f>
        <v>Paraguay</v>
      </c>
      <c r="G181" s="9" t="str">
        <f ca="1">+WORLDCUP!BD58</f>
        <v>República Checa</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Jordania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Jordania</v>
      </c>
      <c r="E183" s="9" t="str">
        <f ca="1">+WORLDCUP!BD66</f>
        <v>Senegal</v>
      </c>
      <c r="F183" s="9" t="str">
        <f ca="1">+WORLDCUP!BD61</f>
        <v>Paraguay</v>
      </c>
      <c r="G183" s="9" t="str">
        <f ca="1">+WORLDCUP!BD58</f>
        <v>República Checa</v>
      </c>
      <c r="H183" s="9" t="str">
        <f ca="1">+WORLDCUP!BD64</f>
        <v>Egipto</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Egipto</v>
      </c>
      <c r="E184" s="9" t="str">
        <f ca="1">+WORLDCUP!BD67</f>
        <v>Jordania</v>
      </c>
      <c r="F184" s="9" t="str">
        <f ca="1">+WORLDCUP!BD61</f>
        <v>Paraguay</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Egipto</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Egipto</v>
      </c>
      <c r="E186" s="9" t="str">
        <f ca="1">+WORLDCUP!BD67</f>
        <v>Jordania</v>
      </c>
      <c r="F186" s="9" t="str">
        <f ca="1">+WORLDCUP!BD61</f>
        <v>Paraguay</v>
      </c>
      <c r="G186" s="9" t="str">
        <f ca="1">+WORLDCUP!BD58</f>
        <v>República Checa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Egipto</v>
      </c>
      <c r="E187" s="9" t="str">
        <f ca="1">+WORLDCUP!BD67</f>
        <v>Jordania</v>
      </c>
      <c r="F187" s="9" t="str">
        <f ca="1">+WORLDCUP!BD61</f>
        <v>Paraguay</v>
      </c>
      <c r="G187" s="9" t="str">
        <f ca="1">+WORLDCUP!BD58</f>
        <v>República Checa</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Jordania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Jordania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Jordania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Jordania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Egipto</v>
      </c>
      <c r="E193" s="9" t="str">
        <f ca="1">+WORLDCUP!BD67</f>
        <v>Jordania</v>
      </c>
      <c r="F193" s="9" t="str">
        <f ca="1">+WORLDCUP!BD61</f>
        <v>Paraguay</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Egipto</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Egipto</v>
      </c>
      <c r="E195" s="9" t="str">
        <f ca="1">+WORLDCUP!BD67</f>
        <v>Jordania</v>
      </c>
      <c r="F195" s="9" t="str">
        <f ca="1">+WORLDCUP!BD61</f>
        <v>Paraguay</v>
      </c>
      <c r="G195" s="9" t="str">
        <f ca="1">+WORLDCUP!BD58</f>
        <v>República Checa</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Egipto</v>
      </c>
      <c r="E196" s="9" t="str">
        <f ca="1">+WORLDCUP!BD67</f>
        <v>Jordania</v>
      </c>
      <c r="F196" s="9" t="str">
        <f ca="1">+WORLDCUP!BD61</f>
        <v>Paraguay</v>
      </c>
      <c r="G196" s="9" t="str">
        <f ca="1">+WORLDCUP!BD58</f>
        <v>República Checa</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Jordania</v>
      </c>
      <c r="F198" s="9" t="str">
        <f ca="1">+WORLDCUP!BD61</f>
        <v>Paraguay</v>
      </c>
      <c r="G198" s="9" t="str">
        <f ca="1">+WORLDCUP!BD58</f>
        <v>República Checa</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Jordania</v>
      </c>
      <c r="F199" s="9" t="str">
        <f ca="1">+WORLDCUP!BD61</f>
        <v>Paraguay</v>
      </c>
      <c r="G199" s="9" t="str">
        <f ca="1">+WORLDCUP!BD58</f>
        <v>República Checa</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Jordania</v>
      </c>
      <c r="F202" s="9" t="str">
        <f ca="1">+WORLDCUP!BD61</f>
        <v>Paraguay</v>
      </c>
      <c r="G202" s="9" t="str">
        <f ca="1">+WORLDCUP!BD58</f>
        <v>República Checa</v>
      </c>
      <c r="H202" s="9" t="str">
        <f ca="1">+WORLDCUP!BD63</f>
        <v>Suecia</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Egipto</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Jordania</v>
      </c>
      <c r="F205" s="9" t="str">
        <f ca="1">+WORLDCUP!BD60</f>
        <v>Escocia</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Jordania</v>
      </c>
      <c r="F206" s="9" t="str">
        <f ca="1">+WORLDCUP!BD60</f>
        <v>Escocia</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Jordania</v>
      </c>
      <c r="F208" s="9" t="str">
        <f ca="1">+WORLDCUP!BD60</f>
        <v>Escocia</v>
      </c>
      <c r="G208" s="9" t="str">
        <f ca="1">+WORLDCUP!BD58</f>
        <v>República Checa</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Jordania</v>
      </c>
      <c r="F209" s="9" t="str">
        <f ca="1">+WORLDCUP!BD60</f>
        <v>Escocia</v>
      </c>
      <c r="G209" s="9" t="str">
        <f ca="1">+WORLDCUP!BD58</f>
        <v>República Checa</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Egipto</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Egipto</v>
      </c>
      <c r="E212" s="9" t="str">
        <f ca="1">+WORLDCUP!BD67</f>
        <v>Jordania</v>
      </c>
      <c r="F212" s="9" t="str">
        <f ca="1">+WORLDCUP!BD60</f>
        <v>Escocia</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Egipto</v>
      </c>
      <c r="E214" s="9" t="str">
        <f ca="1">+WORLDCUP!BD67</f>
        <v>Jordania</v>
      </c>
      <c r="F214" s="9" t="str">
        <f ca="1">+WORLDCUP!BD60</f>
        <v>Escocia</v>
      </c>
      <c r="G214" s="9" t="str">
        <f ca="1">+WORLDCUP!BD58</f>
        <v>República Checa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Egipto</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Egipto</v>
      </c>
      <c r="E221" s="9" t="str">
        <f ca="1">+WORLDCUP!BD67</f>
        <v>Jordania</v>
      </c>
      <c r="F221" s="9" t="str">
        <f ca="1">+WORLDCUP!BD60</f>
        <v>Escocia</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Egipto</v>
      </c>
      <c r="E223" s="9" t="str">
        <f ca="1">+WORLDCUP!BD67</f>
        <v>Jordania</v>
      </c>
      <c r="F223" s="9" t="str">
        <f ca="1">+WORLDCUP!BD60</f>
        <v>Escocia</v>
      </c>
      <c r="G223" s="9" t="str">
        <f ca="1">+WORLDCUP!BD58</f>
        <v>República Checa</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Egipto</v>
      </c>
      <c r="E224" s="9" t="str">
        <f ca="1">+WORLDCUP!BD67</f>
        <v>Jordania</v>
      </c>
      <c r="F224" s="9" t="str">
        <f ca="1">+WORLDCUP!BD60</f>
        <v>Escocia</v>
      </c>
      <c r="G224" s="9" t="str">
        <f ca="1">+WORLDCUP!BD58</f>
        <v>República Checa</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Jordania</v>
      </c>
      <c r="F226" s="9" t="str">
        <f ca="1">+WORLDCUP!BD60</f>
        <v>Escocia</v>
      </c>
      <c r="G226" s="9" t="str">
        <f ca="1">+WORLDCUP!BD58</f>
        <v>República Checa</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Jordania</v>
      </c>
      <c r="F227" s="9" t="str">
        <f ca="1">+WORLDCUP!BD60</f>
        <v>Escocia</v>
      </c>
      <c r="G227" s="9" t="str">
        <f ca="1">+WORLDCUP!BD58</f>
        <v>República Checa</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Jordania</v>
      </c>
      <c r="F230" s="9" t="str">
        <f ca="1">+WORLDCUP!BD60</f>
        <v>Escocia</v>
      </c>
      <c r="G230" s="9" t="str">
        <f ca="1">+WORLDCUP!BD58</f>
        <v>República Checa</v>
      </c>
      <c r="H230" s="9" t="str">
        <f ca="1">+WORLDCUP!BD63</f>
        <v>Suecia</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Jordania</v>
      </c>
      <c r="F232" s="9" t="str">
        <f ca="1">+WORLDCUP!BD60</f>
        <v>Escocia</v>
      </c>
      <c r="G232" s="9" t="str">
        <f ca="1">+WORLDCUP!BD58</f>
        <v>República Checa</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Jordania</v>
      </c>
      <c r="F233" s="9" t="str">
        <f ca="1">+WORLDCUP!BD60</f>
        <v>Escocia</v>
      </c>
      <c r="G233" s="9" t="str">
        <f ca="1">+WORLDCUP!BD58</f>
        <v>República Checa</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Jordania</v>
      </c>
      <c r="F235" s="9" t="str">
        <f ca="1">+WORLDCUP!BD60</f>
        <v>Escocia</v>
      </c>
      <c r="G235" s="9" t="str">
        <f ca="1">+WORLDCUP!BD58</f>
        <v>República Checa</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Jordania</v>
      </c>
      <c r="F236" s="9" t="str">
        <f ca="1">+WORLDCUP!BD60</f>
        <v>Escocia</v>
      </c>
      <c r="G236" s="9" t="str">
        <f ca="1">+WORLDCUP!BD58</f>
        <v>República Checa</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Jordania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Egipto</v>
      </c>
      <c r="E242" s="9" t="str">
        <f ca="1">+WORLDCUP!BD67</f>
        <v>Jordania</v>
      </c>
      <c r="F242" s="9" t="str">
        <f ca="1">+WORLDCUP!BD61</f>
        <v>Paraguay</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Egipto</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Egipto</v>
      </c>
      <c r="E244" s="9" t="str">
        <f ca="1">+WORLDCUP!BD67</f>
        <v>Jordania</v>
      </c>
      <c r="F244" s="9" t="str">
        <f ca="1">+WORLDCUP!BD61</f>
        <v>Paraguay</v>
      </c>
      <c r="G244" s="9" t="str">
        <f ca="1">+WORLDCUP!BD58</f>
        <v>República Checa</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Egipto</v>
      </c>
      <c r="E245" s="9" t="str">
        <f ca="1">+WORLDCUP!BD67</f>
        <v>Jordania</v>
      </c>
      <c r="F245" s="9" t="str">
        <f ca="1">+WORLDCUP!BD61</f>
        <v>Paraguay</v>
      </c>
      <c r="G245" s="9" t="str">
        <f ca="1">+WORLDCUP!BD58</f>
        <v>República Checa</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Egipto</v>
      </c>
      <c r="E247" s="9" t="str">
        <f ca="1">+WORLDCUP!BD67</f>
        <v>Jordania</v>
      </c>
      <c r="F247" s="9" t="str">
        <f ca="1">+WORLDCUP!BD61</f>
        <v>Paraguay</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Jordania</v>
      </c>
      <c r="F248" s="9" t="str">
        <f ca="1">+WORLDCUP!BD60</f>
        <v>Escocia</v>
      </c>
      <c r="G248" s="9" t="str">
        <f ca="1">+WORLDCUP!BD58</f>
        <v>República Checa</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Jordania</v>
      </c>
      <c r="F251" s="9" t="str">
        <f ca="1">+WORLDCUP!BD60</f>
        <v>Escocia</v>
      </c>
      <c r="G251" s="9" t="str">
        <f ca="1">+WORLDCUP!BD58</f>
        <v>República Checa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Egipto</v>
      </c>
      <c r="E257" s="9" t="str">
        <f ca="1">+WORLDCUP!BD67</f>
        <v>Jordania</v>
      </c>
      <c r="F257" s="9" t="str">
        <f ca="1">+WORLDCUP!BD60</f>
        <v>Escocia</v>
      </c>
      <c r="G257" s="9" t="str">
        <f ca="1">+WORLDCUP!BD58</f>
        <v>República Checa</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Egipto</v>
      </c>
      <c r="E259" s="9" t="str">
        <f ca="1">+WORLDCUP!BD67</f>
        <v>Jordania</v>
      </c>
      <c r="F259" s="9" t="str">
        <f ca="1">+WORLDCUP!BD60</f>
        <v>Escocia</v>
      </c>
      <c r="G259" s="9" t="str">
        <f ca="1">+WORLDCUP!BD58</f>
        <v>República Checa</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Egipto</v>
      </c>
      <c r="E260" s="9" t="str">
        <f ca="1">+WORLDCUP!BD67</f>
        <v>Jordania</v>
      </c>
      <c r="F260" s="9" t="str">
        <f ca="1">+WORLDCUP!BD60</f>
        <v>Escocia</v>
      </c>
      <c r="G260" s="9" t="str">
        <f ca="1">+WORLDCUP!BD58</f>
        <v>República Checa</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Jordania</v>
      </c>
      <c r="F262" s="9" t="str">
        <f ca="1">+WORLDCUP!BD60</f>
        <v>Escocia</v>
      </c>
      <c r="G262" s="9" t="str">
        <f ca="1">+WORLDCUP!BD58</f>
        <v>República Checa</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Jordania</v>
      </c>
      <c r="F263" s="9" t="str">
        <f ca="1">+WORLDCUP!BD60</f>
        <v>Escocia</v>
      </c>
      <c r="G263" s="9" t="str">
        <f ca="1">+WORLDCUP!BD58</f>
        <v>República Checa</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Jordania</v>
      </c>
      <c r="F266" s="9" t="str">
        <f ca="1">+WORLDCUP!BD60</f>
        <v>Escocia</v>
      </c>
      <c r="G266" s="9" t="str">
        <f ca="1">+WORLDCUP!BD58</f>
        <v>República Checa</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Jordania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Jordania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Jordania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Egipto</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Egipto</v>
      </c>
      <c r="E278" s="9" t="str">
        <f ca="1">+WORLDCUP!BD67</f>
        <v>Jordania</v>
      </c>
      <c r="F278" s="9" t="str">
        <f ca="1">+WORLDCUP!BD61</f>
        <v>Paraguay</v>
      </c>
      <c r="G278" s="9" t="str">
        <f ca="1">+WORLDCUP!BD58</f>
        <v>República Checa</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Egipto</v>
      </c>
      <c r="E279" s="9" t="str">
        <f ca="1">+WORLDCUP!BD67</f>
        <v>Jordania</v>
      </c>
      <c r="F279" s="9" t="str">
        <f ca="1">+WORLDCUP!BD61</f>
        <v>Paraguay</v>
      </c>
      <c r="G279" s="9" t="str">
        <f ca="1">+WORLDCUP!BD58</f>
        <v>República Checa</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Egipto</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Egipto</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Egipto</v>
      </c>
      <c r="E282" s="9" t="str">
        <f ca="1">+WORLDCUP!BD67</f>
        <v>Jordania</v>
      </c>
      <c r="F282" s="9" t="str">
        <f ca="1">+WORLDCUP!BD61</f>
        <v>Paraguay</v>
      </c>
      <c r="G282" s="9" t="str">
        <f ca="1">+WORLDCUP!BD58</f>
        <v>República Checa</v>
      </c>
      <c r="H282" s="9" t="str">
        <f ca="1">+WORLDCUP!BD63</f>
        <v>Suecia</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Jordania</v>
      </c>
      <c r="F285" s="9" t="str">
        <f ca="1">+WORLDCUP!BD60</f>
        <v>Escocia</v>
      </c>
      <c r="G285" s="9" t="str">
        <f ca="1">+WORLDCUP!BD58</f>
        <v>República Checa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Jordania</v>
      </c>
      <c r="E287" s="9" t="str">
        <f ca="1">+WORLDCUP!BD59</f>
        <v>Catar</v>
      </c>
      <c r="F287" s="9" t="str">
        <f ca="1">+WORLDCUP!BD58</f>
        <v>República Checa</v>
      </c>
      <c r="G287" s="9" t="str">
        <f ca="1">+WORLDCUP!BD66</f>
        <v>Senegal</v>
      </c>
      <c r="H287" s="9" t="str">
        <f ca="1">+WORLDCUP!BD64</f>
        <v>Egipto</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Jordania</v>
      </c>
      <c r="E288" s="9" t="str">
        <f ca="1">+WORLDCUP!BD59</f>
        <v>Catar</v>
      </c>
      <c r="F288" s="9" t="str">
        <f ca="1">+WORLDCUP!BD58</f>
        <v>República Checa</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Jordania</v>
      </c>
      <c r="E289" s="9" t="str">
        <f ca="1">+WORLDCUP!BD59</f>
        <v>Catar</v>
      </c>
      <c r="F289" s="9" t="str">
        <f ca="1">+WORLDCUP!BD63</f>
        <v>Suecia</v>
      </c>
      <c r="G289" s="9" t="str">
        <f ca="1">+WORLDCUP!BD58</f>
        <v>República Checa</v>
      </c>
      <c r="H289" s="9" t="str">
        <f ca="1">+WORLDCUP!BD64</f>
        <v>Egipto</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Jordania</v>
      </c>
      <c r="E290" s="9" t="str">
        <f ca="1">+WORLDCUP!BD59</f>
        <v>Catar</v>
      </c>
      <c r="F290" s="9" t="str">
        <f ca="1">+WORLDCUP!BD63</f>
        <v>Suecia</v>
      </c>
      <c r="G290" s="9" t="str">
        <f ca="1">+WORLDCUP!BD58</f>
        <v>República Checa</v>
      </c>
      <c r="H290" s="9" t="str">
        <f ca="1">+WORLDCUP!BD64</f>
        <v>Egipto</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Catar</v>
      </c>
      <c r="F291" s="9" t="str">
        <f ca="1">+WORLDCUP!BD58</f>
        <v>República Checa</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Jordania</v>
      </c>
      <c r="E292" s="9" t="str">
        <f ca="1">+WORLDCUP!BD59</f>
        <v>Catar</v>
      </c>
      <c r="F292" s="9" t="str">
        <f ca="1">+WORLDCUP!BD63</f>
        <v>Suecia</v>
      </c>
      <c r="G292" s="9" t="str">
        <f ca="1">+WORLDCUP!BD58</f>
        <v>República Checa</v>
      </c>
      <c r="H292" s="9" t="str">
        <f ca="1">+WORLDCUP!BD64</f>
        <v>Egipto</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Jordania</v>
      </c>
      <c r="E293" s="9" t="str">
        <f ca="1">+WORLDCUP!BD59</f>
        <v>Catar</v>
      </c>
      <c r="F293" s="9" t="str">
        <f ca="1">+WORLDCUP!BD63</f>
        <v>Suecia</v>
      </c>
      <c r="G293" s="9" t="str">
        <f ca="1">+WORLDCUP!BD58</f>
        <v>República Checa</v>
      </c>
      <c r="H293" s="9" t="str">
        <f ca="1">+WORLDCUP!BD64</f>
        <v>Egipto</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Jordania</v>
      </c>
      <c r="E294" s="9" t="str">
        <f ca="1">+WORLDCUP!BD59</f>
        <v>Catar</v>
      </c>
      <c r="F294" s="9" t="str">
        <f ca="1">+WORLDCUP!BD58</f>
        <v>República Checa</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Jordania</v>
      </c>
      <c r="E295" s="9" t="str">
        <f ca="1">+WORLDCUP!BD59</f>
        <v>Catar</v>
      </c>
      <c r="F295" s="9" t="str">
        <f ca="1">+WORLDCUP!BD58</f>
        <v>República Checa</v>
      </c>
      <c r="G295" s="9" t="str">
        <f ca="1">+WORLDCUP!BD66</f>
        <v>Senegal</v>
      </c>
      <c r="H295" s="9" t="str">
        <f ca="1">+WORLDCUP!BD64</f>
        <v>Egipto</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Jordania</v>
      </c>
      <c r="E296" s="9" t="str">
        <f ca="1">+WORLDCUP!BD59</f>
        <v>Catar</v>
      </c>
      <c r="F296" s="9" t="str">
        <f ca="1">+WORLDCUP!BD58</f>
        <v>República Checa</v>
      </c>
      <c r="G296" s="9" t="str">
        <f ca="1">+WORLDCUP!BD65</f>
        <v>Arabia Saudita</v>
      </c>
      <c r="H296" s="9" t="str">
        <f ca="1">+WORLDCUP!BD64</f>
        <v>Egipto</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Egipto</v>
      </c>
      <c r="E297" s="9" t="str">
        <f ca="1">+WORLDCUP!BD59</f>
        <v>Catar</v>
      </c>
      <c r="F297" s="9" t="str">
        <f ca="1">+WORLDCUP!BD58</f>
        <v>República Checa</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Jordania</v>
      </c>
      <c r="E298" s="9" t="str">
        <f ca="1">+WORLDCUP!BD59</f>
        <v>Catar</v>
      </c>
      <c r="F298" s="9" t="str">
        <f ca="1">+WORLDCUP!BD58</f>
        <v>República Checa</v>
      </c>
      <c r="G298" s="9" t="str">
        <f ca="1">+WORLDCUP!BD65</f>
        <v>Arabia Saudita</v>
      </c>
      <c r="H298" s="9" t="str">
        <f ca="1">+WORLDCUP!BD64</f>
        <v>Egipto</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Jordania</v>
      </c>
      <c r="E299" s="9" t="str">
        <f ca="1">+WORLDCUP!BD59</f>
        <v>Catar</v>
      </c>
      <c r="F299" s="9" t="str">
        <f ca="1">+WORLDCUP!BD58</f>
        <v>República Checa</v>
      </c>
      <c r="G299" s="9" t="str">
        <f ca="1">+WORLDCUP!BD65</f>
        <v>Arabia Saudita</v>
      </c>
      <c r="H299" s="9" t="str">
        <f ca="1">+WORLDCUP!BD64</f>
        <v>Egipto</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Jordania</v>
      </c>
      <c r="E300" s="9" t="str">
        <f ca="1">+WORLDCUP!BD59</f>
        <v>Catar</v>
      </c>
      <c r="F300" s="9" t="str">
        <f ca="1">+WORLDCUP!BD58</f>
        <v>República Checa</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Jordania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Jordania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Jordania</v>
      </c>
      <c r="E304" s="9" t="str">
        <f ca="1">+WORLDCUP!BD59</f>
        <v>Catar</v>
      </c>
      <c r="F304" s="9" t="str">
        <f ca="1">+WORLDCUP!BD63</f>
        <v>Suecia</v>
      </c>
      <c r="G304" s="9" t="str">
        <f ca="1">+WORLDCUP!BD58</f>
        <v>República Checa</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Jordania</v>
      </c>
      <c r="E305" s="9" t="str">
        <f ca="1">+WORLDCUP!BD59</f>
        <v>Catar</v>
      </c>
      <c r="F305" s="9" t="str">
        <f ca="1">+WORLDCUP!BD63</f>
        <v>Suecia</v>
      </c>
      <c r="G305" s="9" t="str">
        <f ca="1">+WORLDCUP!BD58</f>
        <v>República Checa</v>
      </c>
      <c r="H305" s="9" t="str">
        <f ca="1">+WORLDCUP!BD64</f>
        <v>Egipto</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Egipto</v>
      </c>
      <c r="E306" s="9" t="str">
        <f ca="1">+WORLDCUP!BD59</f>
        <v>Catar</v>
      </c>
      <c r="F306" s="9" t="str">
        <f ca="1">+WORLDCUP!BD58</f>
        <v>República Checa</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Jordania</v>
      </c>
      <c r="E307" s="9" t="str">
        <f ca="1">+WORLDCUP!BD59</f>
        <v>Catar</v>
      </c>
      <c r="F307" s="9" t="str">
        <f ca="1">+WORLDCUP!BD63</f>
        <v>Suecia</v>
      </c>
      <c r="G307" s="9" t="str">
        <f ca="1">+WORLDCUP!BD58</f>
        <v>República Checa</v>
      </c>
      <c r="H307" s="9" t="str">
        <f ca="1">+WORLDCUP!BD64</f>
        <v>Egipto</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Jordania</v>
      </c>
      <c r="E308" s="9" t="str">
        <f ca="1">+WORLDCUP!BD59</f>
        <v>Catar</v>
      </c>
      <c r="F308" s="9" t="str">
        <f ca="1">+WORLDCUP!BD63</f>
        <v>Suecia</v>
      </c>
      <c r="G308" s="9" t="str">
        <f ca="1">+WORLDCUP!BD58</f>
        <v>República Checa</v>
      </c>
      <c r="H308" s="9" t="str">
        <f ca="1">+WORLDCUP!BD64</f>
        <v>Egipto</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Egipto</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Jordania</v>
      </c>
      <c r="E310" s="9" t="str">
        <f ca="1">+WORLDCUP!BD59</f>
        <v>Catar</v>
      </c>
      <c r="F310" s="9" t="str">
        <f ca="1">+WORLDCUP!BD63</f>
        <v>Suecia</v>
      </c>
      <c r="G310" s="9" t="str">
        <f ca="1">+WORLDCUP!BD58</f>
        <v>República Checa</v>
      </c>
      <c r="H310" s="9" t="str">
        <f ca="1">+WORLDCUP!BD64</f>
        <v>Egipto</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Jordania</v>
      </c>
      <c r="E311" s="9" t="str">
        <f ca="1">+WORLDCUP!BD59</f>
        <v>Catar</v>
      </c>
      <c r="F311" s="9" t="str">
        <f ca="1">+WORLDCUP!BD63</f>
        <v>Suecia</v>
      </c>
      <c r="G311" s="9" t="str">
        <f ca="1">+WORLDCUP!BD58</f>
        <v>República Checa</v>
      </c>
      <c r="H311" s="9" t="str">
        <f ca="1">+WORLDCUP!BD64</f>
        <v>Egipto</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Egipto</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Egipto</v>
      </c>
      <c r="E313" s="9" t="str">
        <f ca="1">+WORLDCUP!BD59</f>
        <v>Catar</v>
      </c>
      <c r="F313" s="9" t="str">
        <f ca="1">+WORLDCUP!BD63</f>
        <v>Suecia</v>
      </c>
      <c r="G313" s="9" t="str">
        <f ca="1">+WORLDCUP!BD58</f>
        <v>República Checa</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Jordania</v>
      </c>
      <c r="E314" s="9" t="str">
        <f ca="1">+WORLDCUP!BD59</f>
        <v>Catar</v>
      </c>
      <c r="F314" s="9" t="str">
        <f ca="1">+WORLDCUP!BD63</f>
        <v>Suecia</v>
      </c>
      <c r="G314" s="9" t="str">
        <f ca="1">+WORLDCUP!BD58</f>
        <v>República Checa</v>
      </c>
      <c r="H314" s="9" t="str">
        <f ca="1">+WORLDCUP!BD64</f>
        <v>Egipto</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Jordania</v>
      </c>
      <c r="E315" s="9" t="str">
        <f ca="1">+WORLDCUP!BD59</f>
        <v>Catar</v>
      </c>
      <c r="F315" s="9" t="str">
        <f ca="1">+WORLDCUP!BD61</f>
        <v>Paraguay</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Jordania</v>
      </c>
      <c r="E316" s="9" t="str">
        <f ca="1">+WORLDCUP!BD59</f>
        <v>Catar</v>
      </c>
      <c r="F316" s="9" t="str">
        <f ca="1">+WORLDCUP!BD61</f>
        <v>Paraguay</v>
      </c>
      <c r="G316" s="9" t="str">
        <f ca="1">+WORLDCUP!BD58</f>
        <v>República Checa</v>
      </c>
      <c r="H316" s="9" t="str">
        <f ca="1">+WORLDCUP!BD64</f>
        <v>Egipto</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Jordania</v>
      </c>
      <c r="E317" s="9" t="str">
        <f ca="1">+WORLDCUP!BD59</f>
        <v>Catar</v>
      </c>
      <c r="F317" s="9" t="str">
        <f ca="1">+WORLDCUP!BD61</f>
        <v>Paraguay</v>
      </c>
      <c r="G317" s="9" t="str">
        <f ca="1">+WORLDCUP!BD58</f>
        <v>República Checa</v>
      </c>
      <c r="H317" s="9" t="str">
        <f ca="1">+WORLDCUP!BD64</f>
        <v>Egipto</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Catar</v>
      </c>
      <c r="F318" s="9" t="str">
        <f ca="1">+WORLDCUP!BD61</f>
        <v>Paraguay</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Jordania</v>
      </c>
      <c r="E319" s="9" t="str">
        <f ca="1">+WORLDCUP!BD59</f>
        <v>Catar</v>
      </c>
      <c r="F319" s="9" t="str">
        <f ca="1">+WORLDCUP!BD61</f>
        <v>Paraguay</v>
      </c>
      <c r="G319" s="9" t="str">
        <f ca="1">+WORLDCUP!BD58</f>
        <v>República Checa</v>
      </c>
      <c r="H319" s="9" t="str">
        <f ca="1">+WORLDCUP!BD64</f>
        <v>Egipto</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Jordania</v>
      </c>
      <c r="E320" s="9" t="str">
        <f ca="1">+WORLDCUP!BD59</f>
        <v>Catar</v>
      </c>
      <c r="F320" s="9" t="str">
        <f ca="1">+WORLDCUP!BD61</f>
        <v>Paraguay</v>
      </c>
      <c r="G320" s="9" t="str">
        <f ca="1">+WORLDCUP!BD58</f>
        <v>República Checa</v>
      </c>
      <c r="H320" s="9" t="str">
        <f ca="1">+WORLDCUP!BD64</f>
        <v>Egipto</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Jordania</v>
      </c>
      <c r="E321" s="9" t="str">
        <f ca="1">+WORLDCUP!BD59</f>
        <v>Catar</v>
      </c>
      <c r="F321" s="9" t="str">
        <f ca="1">+WORLDCUP!BD61</f>
        <v>Paraguay</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Jordania</v>
      </c>
      <c r="E322" s="9" t="str">
        <f ca="1">+WORLDCUP!BD59</f>
        <v>Catar</v>
      </c>
      <c r="F322" s="9" t="str">
        <f ca="1">+WORLDCUP!BD61</f>
        <v>Paraguay</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Catar</v>
      </c>
      <c r="F323" s="9" t="str">
        <f ca="1">+WORLDCUP!BD61</f>
        <v>Paraguay</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Jordania</v>
      </c>
      <c r="E324" s="9" t="str">
        <f ca="1">+WORLDCUP!BD59</f>
        <v>Catar</v>
      </c>
      <c r="F324" s="9" t="str">
        <f ca="1">+WORLDCUP!BD61</f>
        <v>Paraguay</v>
      </c>
      <c r="G324" s="9" t="str">
        <f ca="1">+WORLDCUP!BD58</f>
        <v>República Checa</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Jordania</v>
      </c>
      <c r="E325" s="9" t="str">
        <f ca="1">+WORLDCUP!BD59</f>
        <v>Catar</v>
      </c>
      <c r="F325" s="9" t="str">
        <f ca="1">+WORLDCUP!BD61</f>
        <v>Paraguay</v>
      </c>
      <c r="G325" s="9" t="str">
        <f ca="1">+WORLDCUP!BD58</f>
        <v>República Checa</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Jordania</v>
      </c>
      <c r="E326" s="9" t="str">
        <f ca="1">+WORLDCUP!BD59</f>
        <v>Catar</v>
      </c>
      <c r="F326" s="9" t="str">
        <f ca="1">+WORLDCUP!BD61</f>
        <v>Paraguay</v>
      </c>
      <c r="G326" s="9" t="str">
        <f ca="1">+WORLDCUP!BD58</f>
        <v>República Checa</v>
      </c>
      <c r="H326" s="9" t="str">
        <f ca="1">+WORLDCUP!BD64</f>
        <v>Egipto</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Catar</v>
      </c>
      <c r="F327" s="9" t="str">
        <f ca="1">+WORLDCUP!BD61</f>
        <v>Paraguay</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Jordania</v>
      </c>
      <c r="E328" s="9" t="str">
        <f ca="1">+WORLDCUP!BD59</f>
        <v>Catar</v>
      </c>
      <c r="F328" s="9" t="str">
        <f ca="1">+WORLDCUP!BD61</f>
        <v>Paraguay</v>
      </c>
      <c r="G328" s="9" t="str">
        <f ca="1">+WORLDCUP!BD58</f>
        <v>República Checa</v>
      </c>
      <c r="H328" s="9" t="str">
        <f ca="1">+WORLDCUP!BD64</f>
        <v>Egipto</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Jordania</v>
      </c>
      <c r="E329" s="9" t="str">
        <f ca="1">+WORLDCUP!BD59</f>
        <v>Catar</v>
      </c>
      <c r="F329" s="9" t="str">
        <f ca="1">+WORLDCUP!BD61</f>
        <v>Paraguay</v>
      </c>
      <c r="G329" s="9" t="str">
        <f ca="1">+WORLDCUP!BD58</f>
        <v>República Checa</v>
      </c>
      <c r="H329" s="9" t="str">
        <f ca="1">+WORLDCUP!BD64</f>
        <v>Egipto</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Catar</v>
      </c>
      <c r="F330" s="9" t="str">
        <f ca="1">+WORLDCUP!BD61</f>
        <v>Paraguay</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Catar</v>
      </c>
      <c r="F331" s="9" t="str">
        <f ca="1">+WORLDCUP!BD61</f>
        <v>Paraguay</v>
      </c>
      <c r="G331" s="9" t="str">
        <f ca="1">+WORLDCUP!BD58</f>
        <v>República Checa</v>
      </c>
      <c r="H331" s="9" t="str">
        <f ca="1">+WORLDCUP!BD63</f>
        <v>Suecia</v>
      </c>
      <c r="I331" s="9" t="str">
        <f ca="1">+WORLDCUP!BD69</f>
        <v>Ghana</v>
      </c>
      <c r="J331" s="9" t="str">
        <f ca="1">+WORLDCUP!BD67</f>
        <v>Jordania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Catar</v>
      </c>
      <c r="F332" s="9" t="str">
        <f ca="1">+WORLDCUP!BD61</f>
        <v>Paraguay</v>
      </c>
      <c r="G332" s="9" t="str">
        <f ca="1">+WORLDCUP!BD58</f>
        <v>República Checa</v>
      </c>
      <c r="H332" s="9" t="str">
        <f ca="1">+WORLDCUP!BD63</f>
        <v>Suecia</v>
      </c>
      <c r="I332" s="9" t="str">
        <f ca="1">+WORLDCUP!BD67</f>
        <v>Jordania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Catar</v>
      </c>
      <c r="F333" s="9" t="str">
        <f ca="1">+WORLDCUP!BD61</f>
        <v>Paraguay</v>
      </c>
      <c r="G333" s="9" t="str">
        <f ca="1">+WORLDCUP!BD58</f>
        <v>República Checa</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Catar</v>
      </c>
      <c r="F334" s="9" t="str">
        <f ca="1">+WORLDCUP!BD61</f>
        <v>Paraguay</v>
      </c>
      <c r="G334" s="9" t="str">
        <f ca="1">+WORLDCUP!BD58</f>
        <v>República Checa</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Catar</v>
      </c>
      <c r="F335" s="9" t="str">
        <f ca="1">+WORLDCUP!BD61</f>
        <v>Paraguay</v>
      </c>
      <c r="G335" s="9" t="str">
        <f ca="1">+WORLDCUP!BD58</f>
        <v>República Checa</v>
      </c>
      <c r="H335" s="9" t="str">
        <f ca="1">+WORLDCUP!BD63</f>
        <v>Suecia</v>
      </c>
      <c r="I335" s="9" t="str">
        <f ca="1">+WORLDCUP!BD66</f>
        <v>Senegal</v>
      </c>
      <c r="J335" s="9" t="str">
        <f ca="1">+WORLDCUP!BD67</f>
        <v>Jordania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Jordania</v>
      </c>
      <c r="E336" s="9" t="str">
        <f ca="1">+WORLDCUP!BD59</f>
        <v>Catar</v>
      </c>
      <c r="F336" s="9" t="str">
        <f ca="1">+WORLDCUP!BD58</f>
        <v>República Checa</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Jordania</v>
      </c>
      <c r="E337" s="9" t="str">
        <f ca="1">+WORLDCUP!BD59</f>
        <v>Catar</v>
      </c>
      <c r="F337" s="9" t="str">
        <f ca="1">+WORLDCUP!BD61</f>
        <v>Paraguay</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Catar</v>
      </c>
      <c r="F338" s="9" t="str">
        <f ca="1">+WORLDCUP!BD61</f>
        <v>Paraguay</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Jordania</v>
      </c>
      <c r="E339" s="9" t="str">
        <f ca="1">+WORLDCUP!BD59</f>
        <v>Catar</v>
      </c>
      <c r="F339" s="9" t="str">
        <f ca="1">+WORLDCUP!BD61</f>
        <v>Paraguay</v>
      </c>
      <c r="G339" s="9" t="str">
        <f ca="1">+WORLDCUP!BD58</f>
        <v>República Checa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Jordania</v>
      </c>
      <c r="E340" s="9" t="str">
        <f ca="1">+WORLDCUP!BD59</f>
        <v>Catar</v>
      </c>
      <c r="F340" s="9" t="str">
        <f ca="1">+WORLDCUP!BD61</f>
        <v>Paraguay</v>
      </c>
      <c r="G340" s="9" t="str">
        <f ca="1">+WORLDCUP!BD58</f>
        <v>República Checa</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Jordania</v>
      </c>
      <c r="E341" s="9" t="str">
        <f ca="1">+WORLDCUP!BD59</f>
        <v>Catar</v>
      </c>
      <c r="F341" s="9" t="str">
        <f ca="1">+WORLDCUP!BD61</f>
        <v>Paraguay</v>
      </c>
      <c r="G341" s="9" t="str">
        <f ca="1">+WORLDCUP!BD58</f>
        <v>República Checa</v>
      </c>
      <c r="H341" s="9" t="str">
        <f ca="1">+WORLDCUP!BD64</f>
        <v>Egipto</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Egipto</v>
      </c>
      <c r="E342" s="9" t="str">
        <f ca="1">+WORLDCUP!BD59</f>
        <v>Catar</v>
      </c>
      <c r="F342" s="9" t="str">
        <f ca="1">+WORLDCUP!BD58</f>
        <v>República Checa</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Jordania</v>
      </c>
      <c r="E343" s="9" t="str">
        <f ca="1">+WORLDCUP!BD59</f>
        <v>Catar</v>
      </c>
      <c r="F343" s="9" t="str">
        <f ca="1">+WORLDCUP!BD61</f>
        <v>Paraguay</v>
      </c>
      <c r="G343" s="9" t="str">
        <f ca="1">+WORLDCUP!BD58</f>
        <v>República Checa</v>
      </c>
      <c r="H343" s="9" t="str">
        <f ca="1">+WORLDCUP!BD64</f>
        <v>Egipto</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Jordania</v>
      </c>
      <c r="E344" s="9" t="str">
        <f ca="1">+WORLDCUP!BD59</f>
        <v>Catar</v>
      </c>
      <c r="F344" s="9" t="str">
        <f ca="1">+WORLDCUP!BD61</f>
        <v>Paraguay</v>
      </c>
      <c r="G344" s="9" t="str">
        <f ca="1">+WORLDCUP!BD58</f>
        <v>República Checa</v>
      </c>
      <c r="H344" s="9" t="str">
        <f ca="1">+WORLDCUP!BD64</f>
        <v>Egipto</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Egipto</v>
      </c>
      <c r="E345" s="9" t="str">
        <f ca="1">+WORLDCUP!BD59</f>
        <v>Catar</v>
      </c>
      <c r="F345" s="9" t="str">
        <f ca="1">+WORLDCUP!BD61</f>
        <v>Paraguay</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Jordania</v>
      </c>
      <c r="E346" s="9" t="str">
        <f ca="1">+WORLDCUP!BD59</f>
        <v>Catar</v>
      </c>
      <c r="F346" s="9" t="str">
        <f ca="1">+WORLDCUP!BD61</f>
        <v>Paraguay</v>
      </c>
      <c r="G346" s="9" t="str">
        <f ca="1">+WORLDCUP!BD58</f>
        <v>República Checa</v>
      </c>
      <c r="H346" s="9" t="str">
        <f ca="1">+WORLDCUP!BD64</f>
        <v>Egipto</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Jordania</v>
      </c>
      <c r="E347" s="9" t="str">
        <f ca="1">+WORLDCUP!BD59</f>
        <v>Catar</v>
      </c>
      <c r="F347" s="9" t="str">
        <f ca="1">+WORLDCUP!BD61</f>
        <v>Paraguay</v>
      </c>
      <c r="G347" s="9" t="str">
        <f ca="1">+WORLDCUP!BD58</f>
        <v>República Checa</v>
      </c>
      <c r="H347" s="9" t="str">
        <f ca="1">+WORLDCUP!BD64</f>
        <v>Egipto</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Egipto</v>
      </c>
      <c r="E348" s="9" t="str">
        <f ca="1">+WORLDCUP!BD59</f>
        <v>Catar</v>
      </c>
      <c r="F348" s="9" t="str">
        <f ca="1">+WORLDCUP!BD61</f>
        <v>Paraguay</v>
      </c>
      <c r="G348" s="9" t="str">
        <f ca="1">+WORLDCUP!BD58</f>
        <v>República Checa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Egipto</v>
      </c>
      <c r="E349" s="9" t="str">
        <f ca="1">+WORLDCUP!BD59</f>
        <v>Catar</v>
      </c>
      <c r="F349" s="9" t="str">
        <f ca="1">+WORLDCUP!BD61</f>
        <v>Paraguay</v>
      </c>
      <c r="G349" s="9" t="str">
        <f ca="1">+WORLDCUP!BD58</f>
        <v>República Checa</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Jordania</v>
      </c>
      <c r="E350" s="9" t="str">
        <f ca="1">+WORLDCUP!BD59</f>
        <v>Catar</v>
      </c>
      <c r="F350" s="9" t="str">
        <f ca="1">+WORLDCUP!BD61</f>
        <v>Paraguay</v>
      </c>
      <c r="G350" s="9" t="str">
        <f ca="1">+WORLDCUP!BD58</f>
        <v>República Checa</v>
      </c>
      <c r="H350" s="9" t="str">
        <f ca="1">+WORLDCUP!BD64</f>
        <v>Egipto</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Jordania</v>
      </c>
      <c r="E351" s="9" t="str">
        <f ca="1">+WORLDCUP!BD59</f>
        <v>Catar</v>
      </c>
      <c r="F351" s="9" t="str">
        <f ca="1">+WORLDCUP!BD61</f>
        <v>Paraguay</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Catar</v>
      </c>
      <c r="F352" s="9" t="str">
        <f ca="1">+WORLDCUP!BD61</f>
        <v>Paraguay</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Jordania</v>
      </c>
      <c r="E353" s="9" t="str">
        <f ca="1">+WORLDCUP!BD59</f>
        <v>Catar</v>
      </c>
      <c r="F353" s="9" t="str">
        <f ca="1">+WORLDCUP!BD61</f>
        <v>Paraguay</v>
      </c>
      <c r="G353" s="9" t="str">
        <f ca="1">+WORLDCUP!BD58</f>
        <v>República Checa</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Jordania</v>
      </c>
      <c r="E354" s="9" t="str">
        <f ca="1">+WORLDCUP!BD59</f>
        <v>Catar</v>
      </c>
      <c r="F354" s="9" t="str">
        <f ca="1">+WORLDCUP!BD61</f>
        <v>Paraguay</v>
      </c>
      <c r="G354" s="9" t="str">
        <f ca="1">+WORLDCUP!BD58</f>
        <v>República Checa</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Catar</v>
      </c>
      <c r="F355" s="9" t="str">
        <f ca="1">+WORLDCUP!BD61</f>
        <v>Paraguay</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Jordania</v>
      </c>
      <c r="E356" s="9" t="str">
        <f ca="1">+WORLDCUP!BD59</f>
        <v>Catar</v>
      </c>
      <c r="F356" s="9" t="str">
        <f ca="1">+WORLDCUP!BD61</f>
        <v>Paraguay</v>
      </c>
      <c r="G356" s="9" t="str">
        <f ca="1">+WORLDCUP!BD58</f>
        <v>República Checa</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Jordania</v>
      </c>
      <c r="E357" s="9" t="str">
        <f ca="1">+WORLDCUP!BD59</f>
        <v>Catar</v>
      </c>
      <c r="F357" s="9" t="str">
        <f ca="1">+WORLDCUP!BD61</f>
        <v>Paraguay</v>
      </c>
      <c r="G357" s="9" t="str">
        <f ca="1">+WORLDCUP!BD58</f>
        <v>República Checa</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Catar</v>
      </c>
      <c r="F358" s="9" t="str">
        <f ca="1">+WORLDCUP!BD61</f>
        <v>Paraguay</v>
      </c>
      <c r="G358" s="9" t="str">
        <f ca="1">+WORLDCUP!BD58</f>
        <v>República Checa</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Catar</v>
      </c>
      <c r="F359" s="9" t="str">
        <f ca="1">+WORLDCUP!BD61</f>
        <v>Paraguay</v>
      </c>
      <c r="G359" s="9" t="str">
        <f ca="1">+WORLDCUP!BD58</f>
        <v>República Checa</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Jordania</v>
      </c>
      <c r="E360" s="9" t="str">
        <f ca="1">+WORLDCUP!BD59</f>
        <v>Catar</v>
      </c>
      <c r="F360" s="9" t="str">
        <f ca="1">+WORLDCUP!BD61</f>
        <v>Paraguay</v>
      </c>
      <c r="G360" s="9" t="str">
        <f ca="1">+WORLDCUP!BD58</f>
        <v>República Checa</v>
      </c>
      <c r="H360" s="9" t="str">
        <f ca="1">+WORLDCUP!BD63</f>
        <v>Suecia</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Egipto</v>
      </c>
      <c r="E361" s="9" t="str">
        <f ca="1">+WORLDCUP!BD59</f>
        <v>Catar</v>
      </c>
      <c r="F361" s="9" t="str">
        <f ca="1">+WORLDCUP!BD61</f>
        <v>Paraguay</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Egipto</v>
      </c>
      <c r="E362" s="9" t="str">
        <f ca="1">+WORLDCUP!BD59</f>
        <v>Catar</v>
      </c>
      <c r="F362" s="9" t="str">
        <f ca="1">+WORLDCUP!BD61</f>
        <v>Paraguay</v>
      </c>
      <c r="G362" s="9" t="str">
        <f ca="1">+WORLDCUP!BD58</f>
        <v>República Checa</v>
      </c>
      <c r="H362" s="9" t="str">
        <f ca="1">+WORLDCUP!BD63</f>
        <v>Suecia</v>
      </c>
      <c r="I362" s="9" t="str">
        <f ca="1">+WORLDCUP!BD69</f>
        <v>Ghana</v>
      </c>
      <c r="J362" s="9" t="str">
        <f ca="1">+WORLDCUP!BD67</f>
        <v>Jordania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Egipto</v>
      </c>
      <c r="E363" s="9" t="str">
        <f ca="1">+WORLDCUP!BD59</f>
        <v>Catar</v>
      </c>
      <c r="F363" s="9" t="str">
        <f ca="1">+WORLDCUP!BD61</f>
        <v>Paraguay</v>
      </c>
      <c r="G363" s="9" t="str">
        <f ca="1">+WORLDCUP!BD58</f>
        <v>República Checa</v>
      </c>
      <c r="H363" s="9" t="str">
        <f ca="1">+WORLDCUP!BD63</f>
        <v>Suecia</v>
      </c>
      <c r="I363" s="9" t="str">
        <f ca="1">+WORLDCUP!BD67</f>
        <v>Jordania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Egipto</v>
      </c>
      <c r="E364" s="9" t="str">
        <f ca="1">+WORLDCUP!BD59</f>
        <v>Catar</v>
      </c>
      <c r="F364" s="9" t="str">
        <f ca="1">+WORLDCUP!BD61</f>
        <v>Paraguay</v>
      </c>
      <c r="G364" s="9" t="str">
        <f ca="1">+WORLDCUP!BD58</f>
        <v>República Checa</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Egipto</v>
      </c>
      <c r="E365" s="9" t="str">
        <f ca="1">+WORLDCUP!BD59</f>
        <v>Catar</v>
      </c>
      <c r="F365" s="9" t="str">
        <f ca="1">+WORLDCUP!BD61</f>
        <v>Paraguay</v>
      </c>
      <c r="G365" s="9" t="str">
        <f ca="1">+WORLDCUP!BD58</f>
        <v>República Checa</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Egipto</v>
      </c>
      <c r="E366" s="9" t="str">
        <f ca="1">+WORLDCUP!BD59</f>
        <v>Catar</v>
      </c>
      <c r="F366" s="9" t="str">
        <f ca="1">+WORLDCUP!BD61</f>
        <v>Paraguay</v>
      </c>
      <c r="G366" s="9" t="str">
        <f ca="1">+WORLDCUP!BD58</f>
        <v>República Checa</v>
      </c>
      <c r="H366" s="9" t="str">
        <f ca="1">+WORLDCUP!BD63</f>
        <v>Suecia</v>
      </c>
      <c r="I366" s="9" t="str">
        <f ca="1">+WORLDCUP!BD66</f>
        <v>Senegal</v>
      </c>
      <c r="J366" s="9" t="str">
        <f ca="1">+WORLDCUP!BD67</f>
        <v>Jordania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Catar</v>
      </c>
      <c r="F367" s="9" t="str">
        <f ca="1">+WORLDCUP!BD61</f>
        <v>Paraguay</v>
      </c>
      <c r="G367" s="9" t="str">
        <f ca="1">+WORLDCUP!BD58</f>
        <v>República Checa</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Catar</v>
      </c>
      <c r="F368" s="9" t="str">
        <f ca="1">+WORLDCUP!BD61</f>
        <v>Paraguay</v>
      </c>
      <c r="G368" s="9" t="str">
        <f ca="1">+WORLDCUP!BD58</f>
        <v>República Checa</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Catar</v>
      </c>
      <c r="F369" s="9" t="str">
        <f ca="1">+WORLDCUP!BD61</f>
        <v>Paraguay</v>
      </c>
      <c r="G369" s="9" t="str">
        <f ca="1">+WORLDCUP!BD58</f>
        <v>República Checa</v>
      </c>
      <c r="H369" s="9" t="str">
        <f ca="1">+WORLDCUP!BD63</f>
        <v>Suecia</v>
      </c>
      <c r="I369" s="9" t="str">
        <f ca="1">+WORLDCUP!BD62</f>
        <v>Costa de Marfil</v>
      </c>
      <c r="J369" s="9" t="str">
        <f ca="1">+WORLDCUP!BD67</f>
        <v>Jordania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Catar</v>
      </c>
      <c r="F370" s="9" t="str">
        <f ca="1">+WORLDCUP!BD61</f>
        <v>Paraguay</v>
      </c>
      <c r="G370" s="9" t="str">
        <f ca="1">+WORLDCUP!BD58</f>
        <v>República Checa</v>
      </c>
      <c r="H370" s="9" t="str">
        <f ca="1">+WORLDCUP!BD63</f>
        <v>Suecia</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Jordania</v>
      </c>
      <c r="E371" s="9" t="str">
        <f ca="1">+WORLDCUP!BD59</f>
        <v>Catar</v>
      </c>
      <c r="F371" s="9" t="str">
        <f ca="1">+WORLDCUP!BD60</f>
        <v>Escocia</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Jordania</v>
      </c>
      <c r="E372" s="9" t="str">
        <f ca="1">+WORLDCUP!BD59</f>
        <v>Catar</v>
      </c>
      <c r="F372" s="9" t="str">
        <f ca="1">+WORLDCUP!BD60</f>
        <v>Escocia</v>
      </c>
      <c r="G372" s="9" t="str">
        <f ca="1">+WORLDCUP!BD58</f>
        <v>República Checa</v>
      </c>
      <c r="H372" s="9" t="str">
        <f ca="1">+WORLDCUP!BD64</f>
        <v>Egipto</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Jordania</v>
      </c>
      <c r="E373" s="9" t="str">
        <f ca="1">+WORLDCUP!BD59</f>
        <v>Catar</v>
      </c>
      <c r="F373" s="9" t="str">
        <f ca="1">+WORLDCUP!BD60</f>
        <v>Escocia</v>
      </c>
      <c r="G373" s="9" t="str">
        <f ca="1">+WORLDCUP!BD58</f>
        <v>República Checa</v>
      </c>
      <c r="H373" s="9" t="str">
        <f ca="1">+WORLDCUP!BD64</f>
        <v>Egipto</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Catar</v>
      </c>
      <c r="F374" s="9" t="str">
        <f ca="1">+WORLDCUP!BD60</f>
        <v>Escocia</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Jordania</v>
      </c>
      <c r="E375" s="9" t="str">
        <f ca="1">+WORLDCUP!BD59</f>
        <v>Catar</v>
      </c>
      <c r="F375" s="9" t="str">
        <f ca="1">+WORLDCUP!BD60</f>
        <v>Escocia</v>
      </c>
      <c r="G375" s="9" t="str">
        <f ca="1">+WORLDCUP!BD58</f>
        <v>República Checa</v>
      </c>
      <c r="H375" s="9" t="str">
        <f ca="1">+WORLDCUP!BD64</f>
        <v>Egipto</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Jordania</v>
      </c>
      <c r="E376" s="9" t="str">
        <f ca="1">+WORLDCUP!BD59</f>
        <v>Catar</v>
      </c>
      <c r="F376" s="9" t="str">
        <f ca="1">+WORLDCUP!BD60</f>
        <v>Escocia</v>
      </c>
      <c r="G376" s="9" t="str">
        <f ca="1">+WORLDCUP!BD58</f>
        <v>República Checa</v>
      </c>
      <c r="H376" s="9" t="str">
        <f ca="1">+WORLDCUP!BD64</f>
        <v>Egipto</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Jordania</v>
      </c>
      <c r="E377" s="9" t="str">
        <f ca="1">+WORLDCUP!BD59</f>
        <v>Catar</v>
      </c>
      <c r="F377" s="9" t="str">
        <f ca="1">+WORLDCUP!BD60</f>
        <v>Escocia</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Jordania</v>
      </c>
      <c r="E378" s="9" t="str">
        <f ca="1">+WORLDCUP!BD59</f>
        <v>Catar</v>
      </c>
      <c r="F378" s="9" t="str">
        <f ca="1">+WORLDCUP!BD60</f>
        <v>Escocia</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Catar</v>
      </c>
      <c r="F379" s="9" t="str">
        <f ca="1">+WORLDCUP!BD60</f>
        <v>Escocia</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Jordania</v>
      </c>
      <c r="E380" s="9" t="str">
        <f ca="1">+WORLDCUP!BD59</f>
        <v>Catar</v>
      </c>
      <c r="F380" s="9" t="str">
        <f ca="1">+WORLDCUP!BD60</f>
        <v>Escocia</v>
      </c>
      <c r="G380" s="9" t="str">
        <f ca="1">+WORLDCUP!BD58</f>
        <v>República Checa</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Jordania</v>
      </c>
      <c r="E381" s="9" t="str">
        <f ca="1">+WORLDCUP!BD59</f>
        <v>Catar</v>
      </c>
      <c r="F381" s="9" t="str">
        <f ca="1">+WORLDCUP!BD60</f>
        <v>Escocia</v>
      </c>
      <c r="G381" s="9" t="str">
        <f ca="1">+WORLDCUP!BD58</f>
        <v>República Checa</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Jordania</v>
      </c>
      <c r="E382" s="9" t="str">
        <f ca="1">+WORLDCUP!BD59</f>
        <v>Catar</v>
      </c>
      <c r="F382" s="9" t="str">
        <f ca="1">+WORLDCUP!BD63</f>
        <v>Suecia</v>
      </c>
      <c r="G382" s="9" t="str">
        <f ca="1">+WORLDCUP!BD58</f>
        <v>República Checa</v>
      </c>
      <c r="H382" s="9" t="str">
        <f ca="1">+WORLDCUP!BD64</f>
        <v>Egipto</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Catar</v>
      </c>
      <c r="F383" s="9" t="str">
        <f ca="1">+WORLDCUP!BD60</f>
        <v>Escocia</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Jordania</v>
      </c>
      <c r="E384" s="9" t="str">
        <f ca="1">+WORLDCUP!BD59</f>
        <v>Catar</v>
      </c>
      <c r="F384" s="9" t="str">
        <f ca="1">+WORLDCUP!BD63</f>
        <v>Suecia</v>
      </c>
      <c r="G384" s="9" t="str">
        <f ca="1">+WORLDCUP!BD58</f>
        <v>República Checa</v>
      </c>
      <c r="H384" s="9" t="str">
        <f ca="1">+WORLDCUP!BD64</f>
        <v>Egipto</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Jordania</v>
      </c>
      <c r="E385" s="9" t="str">
        <f ca="1">+WORLDCUP!BD59</f>
        <v>Catar</v>
      </c>
      <c r="F385" s="9" t="str">
        <f ca="1">+WORLDCUP!BD63</f>
        <v>Suecia</v>
      </c>
      <c r="G385" s="9" t="str">
        <f ca="1">+WORLDCUP!BD58</f>
        <v>República Checa</v>
      </c>
      <c r="H385" s="9" t="str">
        <f ca="1">+WORLDCUP!BD64</f>
        <v>Egipto</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Catar</v>
      </c>
      <c r="F386" s="9" t="str">
        <f ca="1">+WORLDCUP!BD60</f>
        <v>Escocia</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Catar</v>
      </c>
      <c r="F387" s="9" t="str">
        <f ca="1">+WORLDCUP!BD60</f>
        <v>Escocia</v>
      </c>
      <c r="G387" s="9" t="str">
        <f ca="1">+WORLDCUP!BD58</f>
        <v>República Checa</v>
      </c>
      <c r="H387" s="9" t="str">
        <f ca="1">+WORLDCUP!BD63</f>
        <v>Suecia</v>
      </c>
      <c r="I387" s="9" t="str">
        <f ca="1">+WORLDCUP!BD69</f>
        <v>Ghana</v>
      </c>
      <c r="J387" s="9" t="str">
        <f ca="1">+WORLDCUP!BD67</f>
        <v>Jordania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Catar</v>
      </c>
      <c r="F388" s="9" t="str">
        <f ca="1">+WORLDCUP!BD60</f>
        <v>Escocia</v>
      </c>
      <c r="G388" s="9" t="str">
        <f ca="1">+WORLDCUP!BD58</f>
        <v>República Checa</v>
      </c>
      <c r="H388" s="9" t="str">
        <f ca="1">+WORLDCUP!BD63</f>
        <v>Suecia</v>
      </c>
      <c r="I388" s="9" t="str">
        <f ca="1">+WORLDCUP!BD67</f>
        <v>Jordania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Catar</v>
      </c>
      <c r="F389" s="9" t="str">
        <f ca="1">+WORLDCUP!BD60</f>
        <v>Escocia</v>
      </c>
      <c r="G389" s="9" t="str">
        <f ca="1">+WORLDCUP!BD58</f>
        <v>República Checa</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Egipto</v>
      </c>
      <c r="E390" s="9" t="str">
        <f ca="1">+WORLDCUP!BD59</f>
        <v>Catar</v>
      </c>
      <c r="F390" s="9" t="str">
        <f ca="1">+WORLDCUP!BD60</f>
        <v>Escocia</v>
      </c>
      <c r="G390" s="9" t="str">
        <f ca="1">+WORLDCUP!BD58</f>
        <v>República Checa</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Catar</v>
      </c>
      <c r="F391" s="9" t="str">
        <f ca="1">+WORLDCUP!BD60</f>
        <v>Escocia</v>
      </c>
      <c r="G391" s="9" t="str">
        <f ca="1">+WORLDCUP!BD58</f>
        <v>República Checa</v>
      </c>
      <c r="H391" s="9" t="str">
        <f ca="1">+WORLDCUP!BD63</f>
        <v>Suecia</v>
      </c>
      <c r="I391" s="9" t="str">
        <f ca="1">+WORLDCUP!BD66</f>
        <v>Senegal</v>
      </c>
      <c r="J391" s="9" t="str">
        <f ca="1">+WORLDCUP!BD67</f>
        <v>Jordania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Jordania</v>
      </c>
      <c r="E392" s="9" t="str">
        <f ca="1">+WORLDCUP!BD59</f>
        <v>Catar</v>
      </c>
      <c r="F392" s="9" t="str">
        <f ca="1">+WORLDCUP!BD58</f>
        <v>República Checa</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Jordania</v>
      </c>
      <c r="E393" s="9" t="str">
        <f ca="1">+WORLDCUP!BD59</f>
        <v>Catar</v>
      </c>
      <c r="F393" s="9" t="str">
        <f ca="1">+WORLDCUP!BD60</f>
        <v>Escocia</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Catar</v>
      </c>
      <c r="F394" s="9" t="str">
        <f ca="1">+WORLDCUP!BD60</f>
        <v>Escocia</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Jordania</v>
      </c>
      <c r="E395" s="9" t="str">
        <f ca="1">+WORLDCUP!BD59</f>
        <v>Catar</v>
      </c>
      <c r="F395" s="9" t="str">
        <f ca="1">+WORLDCUP!BD60</f>
        <v>Escocia</v>
      </c>
      <c r="G395" s="9" t="str">
        <f ca="1">+WORLDCUP!BD58</f>
        <v>República Checa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Jordania</v>
      </c>
      <c r="E396" s="9" t="str">
        <f ca="1">+WORLDCUP!BD59</f>
        <v>Catar</v>
      </c>
      <c r="F396" s="9" t="str">
        <f ca="1">+WORLDCUP!BD60</f>
        <v>Escocia</v>
      </c>
      <c r="G396" s="9" t="str">
        <f ca="1">+WORLDCUP!BD58</f>
        <v>República Checa</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Jordania</v>
      </c>
      <c r="E397" s="9" t="str">
        <f ca="1">+WORLDCUP!BD59</f>
        <v>Catar</v>
      </c>
      <c r="F397" s="9" t="str">
        <f ca="1">+WORLDCUP!BD60</f>
        <v>Escocia</v>
      </c>
      <c r="G397" s="9" t="str">
        <f ca="1">+WORLDCUP!BD58</f>
        <v>República Checa</v>
      </c>
      <c r="H397" s="9" t="str">
        <f ca="1">+WORLDCUP!BD64</f>
        <v>Egipto</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Egipto</v>
      </c>
      <c r="E398" s="9" t="str">
        <f ca="1">+WORLDCUP!BD59</f>
        <v>Catar</v>
      </c>
      <c r="F398" s="9" t="str">
        <f ca="1">+WORLDCUP!BD58</f>
        <v>República Checa</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Jordania</v>
      </c>
      <c r="E399" s="9" t="str">
        <f ca="1">+WORLDCUP!BD59</f>
        <v>Catar</v>
      </c>
      <c r="F399" s="9" t="str">
        <f ca="1">+WORLDCUP!BD60</f>
        <v>Escocia</v>
      </c>
      <c r="G399" s="9" t="str">
        <f ca="1">+WORLDCUP!BD58</f>
        <v>República Checa</v>
      </c>
      <c r="H399" s="9" t="str">
        <f ca="1">+WORLDCUP!BD64</f>
        <v>Egipto</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Jordania</v>
      </c>
      <c r="E400" s="9" t="str">
        <f ca="1">+WORLDCUP!BD59</f>
        <v>Catar</v>
      </c>
      <c r="F400" s="9" t="str">
        <f ca="1">+WORLDCUP!BD60</f>
        <v>Escocia</v>
      </c>
      <c r="G400" s="9" t="str">
        <f ca="1">+WORLDCUP!BD58</f>
        <v>República Checa</v>
      </c>
      <c r="H400" s="9" t="str">
        <f ca="1">+WORLDCUP!BD64</f>
        <v>Egipto</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Egipto</v>
      </c>
      <c r="E401" s="9" t="str">
        <f ca="1">+WORLDCUP!BD59</f>
        <v>Catar</v>
      </c>
      <c r="F401" s="9" t="str">
        <f ca="1">+WORLDCUP!BD60</f>
        <v>Escocia</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Jordania</v>
      </c>
      <c r="E402" s="9" t="str">
        <f ca="1">+WORLDCUP!BD59</f>
        <v>Catar</v>
      </c>
      <c r="F402" s="9" t="str">
        <f ca="1">+WORLDCUP!BD60</f>
        <v>Escocia</v>
      </c>
      <c r="G402" s="9" t="str">
        <f ca="1">+WORLDCUP!BD58</f>
        <v>República Checa</v>
      </c>
      <c r="H402" s="9" t="str">
        <f ca="1">+WORLDCUP!BD64</f>
        <v>Egipto</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Jordania</v>
      </c>
      <c r="E403" s="9" t="str">
        <f ca="1">+WORLDCUP!BD59</f>
        <v>Catar</v>
      </c>
      <c r="F403" s="9" t="str">
        <f ca="1">+WORLDCUP!BD60</f>
        <v>Escocia</v>
      </c>
      <c r="G403" s="9" t="str">
        <f ca="1">+WORLDCUP!BD58</f>
        <v>República Checa</v>
      </c>
      <c r="H403" s="9" t="str">
        <f ca="1">+WORLDCUP!BD64</f>
        <v>Egipto</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Egipto</v>
      </c>
      <c r="E404" s="9" t="str">
        <f ca="1">+WORLDCUP!BD59</f>
        <v>Catar</v>
      </c>
      <c r="F404" s="9" t="str">
        <f ca="1">+WORLDCUP!BD60</f>
        <v>Escocia</v>
      </c>
      <c r="G404" s="9" t="str">
        <f ca="1">+WORLDCUP!BD58</f>
        <v>República Checa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Egipto</v>
      </c>
      <c r="E405" s="9" t="str">
        <f ca="1">+WORLDCUP!BD59</f>
        <v>Catar</v>
      </c>
      <c r="F405" s="9" t="str">
        <f ca="1">+WORLDCUP!BD60</f>
        <v>Escocia</v>
      </c>
      <c r="G405" s="9" t="str">
        <f ca="1">+WORLDCUP!BD58</f>
        <v>República Checa</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Jordania</v>
      </c>
      <c r="E406" s="9" t="str">
        <f ca="1">+WORLDCUP!BD59</f>
        <v>Catar</v>
      </c>
      <c r="F406" s="9" t="str">
        <f ca="1">+WORLDCUP!BD60</f>
        <v>Escocia</v>
      </c>
      <c r="G406" s="9" t="str">
        <f ca="1">+WORLDCUP!BD58</f>
        <v>República Checa</v>
      </c>
      <c r="H406" s="9" t="str">
        <f ca="1">+WORLDCUP!BD64</f>
        <v>Egipto</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Jordania</v>
      </c>
      <c r="E407" s="9" t="str">
        <f ca="1">+WORLDCUP!BD59</f>
        <v>Catar</v>
      </c>
      <c r="F407" s="9" t="str">
        <f ca="1">+WORLDCUP!BD60</f>
        <v>Escocia</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Catar</v>
      </c>
      <c r="F408" s="9" t="str">
        <f ca="1">+WORLDCUP!BD60</f>
        <v>Escocia</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Jordania</v>
      </c>
      <c r="E409" s="9" t="str">
        <f ca="1">+WORLDCUP!BD59</f>
        <v>Catar</v>
      </c>
      <c r="F409" s="9" t="str">
        <f ca="1">+WORLDCUP!BD60</f>
        <v>Escocia</v>
      </c>
      <c r="G409" s="9" t="str">
        <f ca="1">+WORLDCUP!BD58</f>
        <v>República Checa</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Jordania</v>
      </c>
      <c r="E410" s="9" t="str">
        <f ca="1">+WORLDCUP!BD59</f>
        <v>Catar</v>
      </c>
      <c r="F410" s="9" t="str">
        <f ca="1">+WORLDCUP!BD60</f>
        <v>Escocia</v>
      </c>
      <c r="G410" s="9" t="str">
        <f ca="1">+WORLDCUP!BD58</f>
        <v>República Checa</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Catar</v>
      </c>
      <c r="F411" s="9" t="str">
        <f ca="1">+WORLDCUP!BD60</f>
        <v>Escocia</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Jordania</v>
      </c>
      <c r="E412" s="9" t="str">
        <f ca="1">+WORLDCUP!BD59</f>
        <v>Catar</v>
      </c>
      <c r="F412" s="9" t="str">
        <f ca="1">+WORLDCUP!BD60</f>
        <v>Escocia</v>
      </c>
      <c r="G412" s="9" t="str">
        <f ca="1">+WORLDCUP!BD58</f>
        <v>República Checa</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Jordania</v>
      </c>
      <c r="E413" s="9" t="str">
        <f ca="1">+WORLDCUP!BD59</f>
        <v>Catar</v>
      </c>
      <c r="F413" s="9" t="str">
        <f ca="1">+WORLDCUP!BD60</f>
        <v>Escocia</v>
      </c>
      <c r="G413" s="9" t="str">
        <f ca="1">+WORLDCUP!BD58</f>
        <v>República Checa</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Catar</v>
      </c>
      <c r="F414" s="9" t="str">
        <f ca="1">+WORLDCUP!BD60</f>
        <v>Escocia</v>
      </c>
      <c r="G414" s="9" t="str">
        <f ca="1">+WORLDCUP!BD58</f>
        <v>República Checa</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Catar</v>
      </c>
      <c r="F415" s="9" t="str">
        <f ca="1">+WORLDCUP!BD60</f>
        <v>Escocia</v>
      </c>
      <c r="G415" s="9" t="str">
        <f ca="1">+WORLDCUP!BD58</f>
        <v>República Checa</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Jordania</v>
      </c>
      <c r="E416" s="9" t="str">
        <f ca="1">+WORLDCUP!BD59</f>
        <v>Catar</v>
      </c>
      <c r="F416" s="9" t="str">
        <f ca="1">+WORLDCUP!BD60</f>
        <v>Escocia</v>
      </c>
      <c r="G416" s="9" t="str">
        <f ca="1">+WORLDCUP!BD58</f>
        <v>República Checa</v>
      </c>
      <c r="H416" s="9" t="str">
        <f ca="1">+WORLDCUP!BD63</f>
        <v>Suecia</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Egipto</v>
      </c>
      <c r="E417" s="9" t="str">
        <f ca="1">+WORLDCUP!BD59</f>
        <v>Catar</v>
      </c>
      <c r="F417" s="9" t="str">
        <f ca="1">+WORLDCUP!BD60</f>
        <v>Escocia</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Egipto</v>
      </c>
      <c r="E418" s="9" t="str">
        <f ca="1">+WORLDCUP!BD59</f>
        <v>Catar</v>
      </c>
      <c r="F418" s="9" t="str">
        <f ca="1">+WORLDCUP!BD60</f>
        <v>Escocia</v>
      </c>
      <c r="G418" s="9" t="str">
        <f ca="1">+WORLDCUP!BD58</f>
        <v>República Checa</v>
      </c>
      <c r="H418" s="9" t="str">
        <f ca="1">+WORLDCUP!BD63</f>
        <v>Suecia</v>
      </c>
      <c r="I418" s="9" t="str">
        <f ca="1">+WORLDCUP!BD69</f>
        <v>Ghana</v>
      </c>
      <c r="J418" s="9" t="str">
        <f ca="1">+WORLDCUP!BD67</f>
        <v>Jordania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Egipto</v>
      </c>
      <c r="E419" s="9" t="str">
        <f ca="1">+WORLDCUP!BD59</f>
        <v>Catar</v>
      </c>
      <c r="F419" s="9" t="str">
        <f ca="1">+WORLDCUP!BD60</f>
        <v>Escocia</v>
      </c>
      <c r="G419" s="9" t="str">
        <f ca="1">+WORLDCUP!BD58</f>
        <v>República Checa</v>
      </c>
      <c r="H419" s="9" t="str">
        <f ca="1">+WORLDCUP!BD63</f>
        <v>Suecia</v>
      </c>
      <c r="I419" s="9" t="str">
        <f ca="1">+WORLDCUP!BD67</f>
        <v>Jordania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Egipto</v>
      </c>
      <c r="E420" s="9" t="str">
        <f ca="1">+WORLDCUP!BD59</f>
        <v>Catar</v>
      </c>
      <c r="F420" s="9" t="str">
        <f ca="1">+WORLDCUP!BD60</f>
        <v>Escocia</v>
      </c>
      <c r="G420" s="9" t="str">
        <f ca="1">+WORLDCUP!BD58</f>
        <v>República Checa</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Egipto</v>
      </c>
      <c r="E421" s="9" t="str">
        <f ca="1">+WORLDCUP!BD59</f>
        <v>Catar</v>
      </c>
      <c r="F421" s="9" t="str">
        <f ca="1">+WORLDCUP!BD60</f>
        <v>Escocia</v>
      </c>
      <c r="G421" s="9" t="str">
        <f ca="1">+WORLDCUP!BD58</f>
        <v>República Checa</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Egipto</v>
      </c>
      <c r="E422" s="9" t="str">
        <f ca="1">+WORLDCUP!BD59</f>
        <v>Catar</v>
      </c>
      <c r="F422" s="9" t="str">
        <f ca="1">+WORLDCUP!BD60</f>
        <v>Escocia</v>
      </c>
      <c r="G422" s="9" t="str">
        <f ca="1">+WORLDCUP!BD58</f>
        <v>República Checa</v>
      </c>
      <c r="H422" s="9" t="str">
        <f ca="1">+WORLDCUP!BD63</f>
        <v>Suecia</v>
      </c>
      <c r="I422" s="9" t="str">
        <f ca="1">+WORLDCUP!BD66</f>
        <v>Senegal</v>
      </c>
      <c r="J422" s="9" t="str">
        <f ca="1">+WORLDCUP!BD67</f>
        <v>Jordania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Catar</v>
      </c>
      <c r="F423" s="9" t="str">
        <f ca="1">+WORLDCUP!BD60</f>
        <v>Escocia</v>
      </c>
      <c r="G423" s="9" t="str">
        <f ca="1">+WORLDCUP!BD58</f>
        <v>República Checa</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Catar</v>
      </c>
      <c r="F424" s="9" t="str">
        <f ca="1">+WORLDCUP!BD60</f>
        <v>Escocia</v>
      </c>
      <c r="G424" s="9" t="str">
        <f ca="1">+WORLDCUP!BD58</f>
        <v>República Checa</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Catar</v>
      </c>
      <c r="F425" s="9" t="str">
        <f ca="1">+WORLDCUP!BD60</f>
        <v>Escocia</v>
      </c>
      <c r="G425" s="9" t="str">
        <f ca="1">+WORLDCUP!BD58</f>
        <v>República Checa</v>
      </c>
      <c r="H425" s="9" t="str">
        <f ca="1">+WORLDCUP!BD63</f>
        <v>Suecia</v>
      </c>
      <c r="I425" s="9" t="str">
        <f ca="1">+WORLDCUP!BD62</f>
        <v>Costa de Marfil</v>
      </c>
      <c r="J425" s="9" t="str">
        <f ca="1">+WORLDCUP!BD67</f>
        <v>Jordania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Catar</v>
      </c>
      <c r="F426" s="9" t="str">
        <f ca="1">+WORLDCUP!BD60</f>
        <v>Escocia</v>
      </c>
      <c r="G426" s="9" t="str">
        <f ca="1">+WORLDCUP!BD58</f>
        <v>República Checa</v>
      </c>
      <c r="H426" s="9" t="str">
        <f ca="1">+WORLDCUP!BD63</f>
        <v>Suecia</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Jordania</v>
      </c>
      <c r="E427" s="9" t="str">
        <f ca="1">+WORLDCUP!BD59</f>
        <v>Catar</v>
      </c>
      <c r="F427" s="9" t="str">
        <f ca="1">+WORLDCUP!BD60</f>
        <v>Escocia</v>
      </c>
      <c r="G427" s="9" t="str">
        <f ca="1">+WORLDCUP!BD58</f>
        <v>República Checa</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Jordania</v>
      </c>
      <c r="E428" s="9" t="str">
        <f ca="1">+WORLDCUP!BD59</f>
        <v>Catar</v>
      </c>
      <c r="F428" s="9" t="str">
        <f ca="1">+WORLDCUP!BD60</f>
        <v>Escocia</v>
      </c>
      <c r="G428" s="9" t="str">
        <f ca="1">+WORLDCUP!BD58</f>
        <v>República Checa</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Catar</v>
      </c>
      <c r="F429" s="9" t="str">
        <f ca="1">+WORLDCUP!BD60</f>
        <v>Escocia</v>
      </c>
      <c r="G429" s="9" t="str">
        <f ca="1">+WORLDCUP!BD58</f>
        <v>República Checa</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Jordania</v>
      </c>
      <c r="E430" s="9" t="str">
        <f ca="1">+WORLDCUP!BD59</f>
        <v>Catar</v>
      </c>
      <c r="F430" s="9" t="str">
        <f ca="1">+WORLDCUP!BD60</f>
        <v>Escocia</v>
      </c>
      <c r="G430" s="9" t="str">
        <f ca="1">+WORLDCUP!BD58</f>
        <v>República Checa</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Jordania</v>
      </c>
      <c r="E431" s="9" t="str">
        <f ca="1">+WORLDCUP!BD59</f>
        <v>Catar</v>
      </c>
      <c r="F431" s="9" t="str">
        <f ca="1">+WORLDCUP!BD60</f>
        <v>Escocia</v>
      </c>
      <c r="G431" s="9" t="str">
        <f ca="1">+WORLDCUP!BD58</f>
        <v>República Checa</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Jordania</v>
      </c>
      <c r="E432" s="9" t="str">
        <f ca="1">+WORLDCUP!BD59</f>
        <v>Catar</v>
      </c>
      <c r="F432" s="9" t="str">
        <f ca="1">+WORLDCUP!BD61</f>
        <v>Paraguay</v>
      </c>
      <c r="G432" s="9" t="str">
        <f ca="1">+WORLDCUP!BD58</f>
        <v>República Checa</v>
      </c>
      <c r="H432" s="9" t="str">
        <f ca="1">+WORLDCUP!BD64</f>
        <v>Egipto</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Catar</v>
      </c>
      <c r="F433" s="9" t="str">
        <f ca="1">+WORLDCUP!BD60</f>
        <v>Escocia</v>
      </c>
      <c r="G433" s="9" t="str">
        <f ca="1">+WORLDCUP!BD58</f>
        <v>República Checa</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Jordania</v>
      </c>
      <c r="E434" s="9" t="str">
        <f ca="1">+WORLDCUP!BD59</f>
        <v>Catar</v>
      </c>
      <c r="F434" s="9" t="str">
        <f ca="1">+WORLDCUP!BD61</f>
        <v>Paraguay</v>
      </c>
      <c r="G434" s="9" t="str">
        <f ca="1">+WORLDCUP!BD58</f>
        <v>República Checa</v>
      </c>
      <c r="H434" s="9" t="str">
        <f ca="1">+WORLDCUP!BD64</f>
        <v>Egipto</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Jordania</v>
      </c>
      <c r="E435" s="9" t="str">
        <f ca="1">+WORLDCUP!BD59</f>
        <v>Catar</v>
      </c>
      <c r="F435" s="9" t="str">
        <f ca="1">+WORLDCUP!BD61</f>
        <v>Paraguay</v>
      </c>
      <c r="G435" s="9" t="str">
        <f ca="1">+WORLDCUP!BD58</f>
        <v>República Checa</v>
      </c>
      <c r="H435" s="9" t="str">
        <f ca="1">+WORLDCUP!BD64</f>
        <v>Egipto</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Catar</v>
      </c>
      <c r="F436" s="9" t="str">
        <f ca="1">+WORLDCUP!BD60</f>
        <v>Escocia</v>
      </c>
      <c r="G436" s="9" t="str">
        <f ca="1">+WORLDCUP!BD58</f>
        <v>República Checa</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Catar</v>
      </c>
      <c r="F437" s="9" t="str">
        <f ca="1">+WORLDCUP!BD60</f>
        <v>Escocia</v>
      </c>
      <c r="G437" s="9" t="str">
        <f ca="1">+WORLDCUP!BD58</f>
        <v>República Checa</v>
      </c>
      <c r="H437" s="9" t="str">
        <f ca="1">+WORLDCUP!BD61</f>
        <v>Paraguay</v>
      </c>
      <c r="I437" s="9" t="str">
        <f ca="1">+WORLDCUP!BD69</f>
        <v>Ghana</v>
      </c>
      <c r="J437" s="9" t="str">
        <f ca="1">+WORLDCUP!BD67</f>
        <v>Jordania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Catar</v>
      </c>
      <c r="F438" s="9" t="str">
        <f ca="1">+WORLDCUP!BD60</f>
        <v>Escocia</v>
      </c>
      <c r="G438" s="9" t="str">
        <f ca="1">+WORLDCUP!BD58</f>
        <v>República Checa</v>
      </c>
      <c r="H438" s="9" t="str">
        <f ca="1">+WORLDCUP!BD61</f>
        <v>Paraguay</v>
      </c>
      <c r="I438" s="9" t="str">
        <f ca="1">+WORLDCUP!BD67</f>
        <v>Jordania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Catar</v>
      </c>
      <c r="F439" s="9" t="str">
        <f ca="1">+WORLDCUP!BD60</f>
        <v>Escocia</v>
      </c>
      <c r="G439" s="9" t="str">
        <f ca="1">+WORLDCUP!BD58</f>
        <v>República Checa</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Catar</v>
      </c>
      <c r="F440" s="9" t="str">
        <f ca="1">+WORLDCUP!BD60</f>
        <v>Escocia</v>
      </c>
      <c r="G440" s="9" t="str">
        <f ca="1">+WORLDCUP!BD58</f>
        <v>República Checa</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Catar</v>
      </c>
      <c r="F441" s="9" t="str">
        <f ca="1">+WORLDCUP!BD60</f>
        <v>Escocia</v>
      </c>
      <c r="G441" s="9" t="str">
        <f ca="1">+WORLDCUP!BD58</f>
        <v>República Checa</v>
      </c>
      <c r="H441" s="9" t="str">
        <f ca="1">+WORLDCUP!BD61</f>
        <v>Paraguay</v>
      </c>
      <c r="I441" s="9" t="str">
        <f ca="1">+WORLDCUP!BD66</f>
        <v>Senegal</v>
      </c>
      <c r="J441" s="9" t="str">
        <f ca="1">+WORLDCUP!BD67</f>
        <v>Jordania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Jordania</v>
      </c>
      <c r="E442" s="9" t="str">
        <f ca="1">+WORLDCUP!BD59</f>
        <v>Catar</v>
      </c>
      <c r="F442" s="9" t="str">
        <f ca="1">+WORLDCUP!BD61</f>
        <v>Paraguay</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Catar</v>
      </c>
      <c r="F443" s="9" t="str">
        <f ca="1">+WORLDCUP!BD61</f>
        <v>Paraguay</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Jordania</v>
      </c>
      <c r="E444" s="9" t="str">
        <f ca="1">+WORLDCUP!BD59</f>
        <v>Catar</v>
      </c>
      <c r="F444" s="9" t="str">
        <f ca="1">+WORLDCUP!BD61</f>
        <v>Paraguay</v>
      </c>
      <c r="G444" s="9" t="str">
        <f ca="1">+WORLDCUP!BD58</f>
        <v>República Checa</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Jordania</v>
      </c>
      <c r="E445" s="9" t="str">
        <f ca="1">+WORLDCUP!BD59</f>
        <v>Catar</v>
      </c>
      <c r="F445" s="9" t="str">
        <f ca="1">+WORLDCUP!BD61</f>
        <v>Paraguay</v>
      </c>
      <c r="G445" s="9" t="str">
        <f ca="1">+WORLDCUP!BD58</f>
        <v>República Checa</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Catar</v>
      </c>
      <c r="F446" s="9" t="str">
        <f ca="1">+WORLDCUP!BD60</f>
        <v>Escocia</v>
      </c>
      <c r="G446" s="9" t="str">
        <f ca="1">+WORLDCUP!BD58</f>
        <v>República Checa</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Jordania</v>
      </c>
      <c r="E447" s="9" t="str">
        <f ca="1">+WORLDCUP!BD59</f>
        <v>Catar</v>
      </c>
      <c r="F447" s="9" t="str">
        <f ca="1">+WORLDCUP!BD61</f>
        <v>Paraguay</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Jordania</v>
      </c>
      <c r="E448" s="9" t="str">
        <f ca="1">+WORLDCUP!BD59</f>
        <v>Catar</v>
      </c>
      <c r="F448" s="9" t="str">
        <f ca="1">+WORLDCUP!BD60</f>
        <v>Escocia</v>
      </c>
      <c r="G448" s="9" t="str">
        <f ca="1">+WORLDCUP!BD58</f>
        <v>República Checa</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Catar</v>
      </c>
      <c r="F449" s="9" t="str">
        <f ca="1">+WORLDCUP!BD60</f>
        <v>Escocia</v>
      </c>
      <c r="G449" s="9" t="str">
        <f ca="1">+WORLDCUP!BD58</f>
        <v>República Checa</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Catar</v>
      </c>
      <c r="F450" s="9" t="str">
        <f ca="1">+WORLDCUP!BD60</f>
        <v>Escocia</v>
      </c>
      <c r="G450" s="9" t="str">
        <f ca="1">+WORLDCUP!BD58</f>
        <v>República Checa</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Jordania</v>
      </c>
      <c r="E451" s="9" t="str">
        <f ca="1">+WORLDCUP!BD59</f>
        <v>Catar</v>
      </c>
      <c r="F451" s="9" t="str">
        <f ca="1">+WORLDCUP!BD60</f>
        <v>Escocia</v>
      </c>
      <c r="G451" s="9" t="str">
        <f ca="1">+WORLDCUP!BD58</f>
        <v>República Checa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Egipto</v>
      </c>
      <c r="E452" s="9" t="str">
        <f ca="1">+WORLDCUP!BD59</f>
        <v>Catar</v>
      </c>
      <c r="F452" s="9" t="str">
        <f ca="1">+WORLDCUP!BD61</f>
        <v>Paraguay</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Egipto</v>
      </c>
      <c r="E453" s="9" t="str">
        <f ca="1">+WORLDCUP!BD59</f>
        <v>Catar</v>
      </c>
      <c r="F453" s="9" t="str">
        <f ca="1">+WORLDCUP!BD61</f>
        <v>Paraguay</v>
      </c>
      <c r="G453" s="9" t="str">
        <f ca="1">+WORLDCUP!BD58</f>
        <v>República Checa</v>
      </c>
      <c r="H453" s="9" t="str">
        <f ca="1">+WORLDCUP!BD63</f>
        <v>Suecia</v>
      </c>
      <c r="I453" s="9" t="str">
        <f ca="1">+WORLDCUP!BD69</f>
        <v>Ghana</v>
      </c>
      <c r="J453" s="9" t="str">
        <f ca="1">+WORLDCUP!BD67</f>
        <v>Jordania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Egipto</v>
      </c>
      <c r="E454" s="9" t="str">
        <f ca="1">+WORLDCUP!BD59</f>
        <v>Catar</v>
      </c>
      <c r="F454" s="9" t="str">
        <f ca="1">+WORLDCUP!BD61</f>
        <v>Paraguay</v>
      </c>
      <c r="G454" s="9" t="str">
        <f ca="1">+WORLDCUP!BD58</f>
        <v>República Checa</v>
      </c>
      <c r="H454" s="9" t="str">
        <f ca="1">+WORLDCUP!BD63</f>
        <v>Suecia</v>
      </c>
      <c r="I454" s="9" t="str">
        <f ca="1">+WORLDCUP!BD67</f>
        <v>Jordania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Egipto</v>
      </c>
      <c r="E455" s="9" t="str">
        <f ca="1">+WORLDCUP!BD59</f>
        <v>Catar</v>
      </c>
      <c r="F455" s="9" t="str">
        <f ca="1">+WORLDCUP!BD61</f>
        <v>Paraguay</v>
      </c>
      <c r="G455" s="9" t="str">
        <f ca="1">+WORLDCUP!BD58</f>
        <v>República Checa</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Egipto</v>
      </c>
      <c r="E456" s="9" t="str">
        <f ca="1">+WORLDCUP!BD59</f>
        <v>Catar</v>
      </c>
      <c r="F456" s="9" t="str">
        <f ca="1">+WORLDCUP!BD61</f>
        <v>Paraguay</v>
      </c>
      <c r="G456" s="9" t="str">
        <f ca="1">+WORLDCUP!BD58</f>
        <v>República Checa</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Egipto</v>
      </c>
      <c r="E457" s="9" t="str">
        <f ca="1">+WORLDCUP!BD59</f>
        <v>Catar</v>
      </c>
      <c r="F457" s="9" t="str">
        <f ca="1">+WORLDCUP!BD61</f>
        <v>Paraguay</v>
      </c>
      <c r="G457" s="9" t="str">
        <f ca="1">+WORLDCUP!BD58</f>
        <v>República Checa</v>
      </c>
      <c r="H457" s="9" t="str">
        <f ca="1">+WORLDCUP!BD63</f>
        <v>Suecia</v>
      </c>
      <c r="I457" s="9" t="str">
        <f ca="1">+WORLDCUP!BD66</f>
        <v>Senegal</v>
      </c>
      <c r="J457" s="9" t="str">
        <f ca="1">+WORLDCUP!BD67</f>
        <v>Jordania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Egipto</v>
      </c>
      <c r="E458" s="9" t="str">
        <f ca="1">+WORLDCUP!BD59</f>
        <v>Catar</v>
      </c>
      <c r="F458" s="9" t="str">
        <f ca="1">+WORLDCUP!BD61</f>
        <v>Paraguay</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Catar</v>
      </c>
      <c r="F459" s="9" t="str">
        <f ca="1">+WORLDCUP!BD60</f>
        <v>Escocia</v>
      </c>
      <c r="G459" s="9" t="str">
        <f ca="1">+WORLDCUP!BD58</f>
        <v>República Checa</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Catar</v>
      </c>
      <c r="F460" s="9" t="str">
        <f ca="1">+WORLDCUP!BD60</f>
        <v>Escocia</v>
      </c>
      <c r="G460" s="9" t="str">
        <f ca="1">+WORLDCUP!BD58</f>
        <v>República Checa</v>
      </c>
      <c r="H460" s="9" t="str">
        <f ca="1">+WORLDCUP!BD63</f>
        <v>Suecia</v>
      </c>
      <c r="I460" s="9" t="str">
        <f ca="1">+WORLDCUP!BD61</f>
        <v>Paraguay</v>
      </c>
      <c r="J460" s="9" t="str">
        <f ca="1">+WORLDCUP!BD67</f>
        <v>Jordania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Catar</v>
      </c>
      <c r="F461" s="9" t="str">
        <f ca="1">+WORLDCUP!BD60</f>
        <v>Escocia</v>
      </c>
      <c r="G461" s="9" t="str">
        <f ca="1">+WORLDCUP!BD58</f>
        <v>República Checa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Jordania</v>
      </c>
      <c r="E462" s="9" t="str">
        <f ca="1">+WORLDCUP!BD59</f>
        <v>Catar</v>
      </c>
      <c r="F462" s="9" t="str">
        <f ca="1">+WORLDCUP!BD60</f>
        <v>Escocia</v>
      </c>
      <c r="G462" s="9" t="str">
        <f ca="1">+WORLDCUP!BD58</f>
        <v>República Checa</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Catar</v>
      </c>
      <c r="F463" s="9" t="str">
        <f ca="1">+WORLDCUP!BD60</f>
        <v>Escocia</v>
      </c>
      <c r="G463" s="9" t="str">
        <f ca="1">+WORLDCUP!BD58</f>
        <v>República Checa</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Jordania</v>
      </c>
      <c r="E464" s="9" t="str">
        <f ca="1">+WORLDCUP!BD59</f>
        <v>Catar</v>
      </c>
      <c r="F464" s="9" t="str">
        <f ca="1">+WORLDCUP!BD60</f>
        <v>Escocia</v>
      </c>
      <c r="G464" s="9" t="str">
        <f ca="1">+WORLDCUP!BD58</f>
        <v>República Checa</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Jordania</v>
      </c>
      <c r="E465" s="9" t="str">
        <f ca="1">+WORLDCUP!BD59</f>
        <v>Catar</v>
      </c>
      <c r="F465" s="9" t="str">
        <f ca="1">+WORLDCUP!BD60</f>
        <v>Escocia</v>
      </c>
      <c r="G465" s="9" t="str">
        <f ca="1">+WORLDCUP!BD58</f>
        <v>República Checa</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Catar</v>
      </c>
      <c r="F466" s="9" t="str">
        <f ca="1">+WORLDCUP!BD60</f>
        <v>Escocia</v>
      </c>
      <c r="G466" s="9" t="str">
        <f ca="1">+WORLDCUP!BD58</f>
        <v>República Checa</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Jordania</v>
      </c>
      <c r="E467" s="9" t="str">
        <f ca="1">+WORLDCUP!BD59</f>
        <v>Catar</v>
      </c>
      <c r="F467" s="9" t="str">
        <f ca="1">+WORLDCUP!BD60</f>
        <v>Escocia</v>
      </c>
      <c r="G467" s="9" t="str">
        <f ca="1">+WORLDCUP!BD58</f>
        <v>República Checa</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Jordania</v>
      </c>
      <c r="E468" s="9" t="str">
        <f ca="1">+WORLDCUP!BD59</f>
        <v>Catar</v>
      </c>
      <c r="F468" s="9" t="str">
        <f ca="1">+WORLDCUP!BD60</f>
        <v>Escocia</v>
      </c>
      <c r="G468" s="9" t="str">
        <f ca="1">+WORLDCUP!BD58</f>
        <v>República Checa</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Catar</v>
      </c>
      <c r="F469" s="9" t="str">
        <f ca="1">+WORLDCUP!BD60</f>
        <v>Escocia</v>
      </c>
      <c r="G469" s="9" t="str">
        <f ca="1">+WORLDCUP!BD58</f>
        <v>República Checa</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Catar</v>
      </c>
      <c r="F470" s="9" t="str">
        <f ca="1">+WORLDCUP!BD60</f>
        <v>Escocia</v>
      </c>
      <c r="G470" s="9" t="str">
        <f ca="1">+WORLDCUP!BD58</f>
        <v>República Checa</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Jordania</v>
      </c>
      <c r="E471" s="9" t="str">
        <f ca="1">+WORLDCUP!BD59</f>
        <v>Catar</v>
      </c>
      <c r="F471" s="9" t="str">
        <f ca="1">+WORLDCUP!BD60</f>
        <v>Escocia</v>
      </c>
      <c r="G471" s="9" t="str">
        <f ca="1">+WORLDCUP!BD58</f>
        <v>República Checa</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Egipto</v>
      </c>
      <c r="E472" s="9" t="str">
        <f ca="1">+WORLDCUP!BD59</f>
        <v>Catar</v>
      </c>
      <c r="F472" s="9" t="str">
        <f ca="1">+WORLDCUP!BD60</f>
        <v>Escocia</v>
      </c>
      <c r="G472" s="9" t="str">
        <f ca="1">+WORLDCUP!BD58</f>
        <v>República Checa</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Egipto</v>
      </c>
      <c r="E473" s="9" t="str">
        <f ca="1">+WORLDCUP!BD59</f>
        <v>Catar</v>
      </c>
      <c r="F473" s="9" t="str">
        <f ca="1">+WORLDCUP!BD60</f>
        <v>Escocia</v>
      </c>
      <c r="G473" s="9" t="str">
        <f ca="1">+WORLDCUP!BD58</f>
        <v>República Checa</v>
      </c>
      <c r="H473" s="9" t="str">
        <f ca="1">+WORLDCUP!BD61</f>
        <v>Paraguay</v>
      </c>
      <c r="I473" s="9" t="str">
        <f ca="1">+WORLDCUP!BD69</f>
        <v>Ghana</v>
      </c>
      <c r="J473" s="9" t="str">
        <f ca="1">+WORLDCUP!BD67</f>
        <v>Jordania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Egipto</v>
      </c>
      <c r="E474" s="9" t="str">
        <f ca="1">+WORLDCUP!BD59</f>
        <v>Catar</v>
      </c>
      <c r="F474" s="9" t="str">
        <f ca="1">+WORLDCUP!BD60</f>
        <v>Escocia</v>
      </c>
      <c r="G474" s="9" t="str">
        <f ca="1">+WORLDCUP!BD58</f>
        <v>República Checa</v>
      </c>
      <c r="H474" s="9" t="str">
        <f ca="1">+WORLDCUP!BD61</f>
        <v>Paraguay</v>
      </c>
      <c r="I474" s="9" t="str">
        <f ca="1">+WORLDCUP!BD67</f>
        <v>Jordania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Egipto</v>
      </c>
      <c r="E475" s="9" t="str">
        <f ca="1">+WORLDCUP!BD59</f>
        <v>Catar</v>
      </c>
      <c r="F475" s="9" t="str">
        <f ca="1">+WORLDCUP!BD60</f>
        <v>Escocia</v>
      </c>
      <c r="G475" s="9" t="str">
        <f ca="1">+WORLDCUP!BD58</f>
        <v>República Checa</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Egipto</v>
      </c>
      <c r="E476" s="9" t="str">
        <f ca="1">+WORLDCUP!BD59</f>
        <v>Catar</v>
      </c>
      <c r="F476" s="9" t="str">
        <f ca="1">+WORLDCUP!BD60</f>
        <v>Escocia</v>
      </c>
      <c r="G476" s="9" t="str">
        <f ca="1">+WORLDCUP!BD58</f>
        <v>República Checa</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Egipto</v>
      </c>
      <c r="E477" s="9" t="str">
        <f ca="1">+WORLDCUP!BD59</f>
        <v>Catar</v>
      </c>
      <c r="F477" s="9" t="str">
        <f ca="1">+WORLDCUP!BD60</f>
        <v>Escocia</v>
      </c>
      <c r="G477" s="9" t="str">
        <f ca="1">+WORLDCUP!BD58</f>
        <v>República Checa</v>
      </c>
      <c r="H477" s="9" t="str">
        <f ca="1">+WORLDCUP!BD61</f>
        <v>Paraguay</v>
      </c>
      <c r="I477" s="9" t="str">
        <f ca="1">+WORLDCUP!BD66</f>
        <v>Senegal</v>
      </c>
      <c r="J477" s="9" t="str">
        <f ca="1">+WORLDCUP!BD67</f>
        <v>Jordania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Catar</v>
      </c>
      <c r="F478" s="9" t="str">
        <f ca="1">+WORLDCUP!BD60</f>
        <v>Escocia</v>
      </c>
      <c r="G478" s="9" t="str">
        <f ca="1">+WORLDCUP!BD58</f>
        <v>República Checa</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Catar</v>
      </c>
      <c r="F479" s="9" t="str">
        <f ca="1">+WORLDCUP!BD60</f>
        <v>Escocia</v>
      </c>
      <c r="G479" s="9" t="str">
        <f ca="1">+WORLDCUP!BD58</f>
        <v>República Checa</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Catar</v>
      </c>
      <c r="F480" s="9" t="str">
        <f ca="1">+WORLDCUP!BD60</f>
        <v>Escocia</v>
      </c>
      <c r="G480" s="9" t="str">
        <f ca="1">+WORLDCUP!BD58</f>
        <v>República Checa</v>
      </c>
      <c r="H480" s="9" t="str">
        <f ca="1">+WORLDCUP!BD61</f>
        <v>Paraguay</v>
      </c>
      <c r="I480" s="9" t="str">
        <f ca="1">+WORLDCUP!BD62</f>
        <v>Costa de Marfil</v>
      </c>
      <c r="J480" s="9" t="str">
        <f ca="1">+WORLDCUP!BD67</f>
        <v>Jordania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Catar</v>
      </c>
      <c r="F481" s="9" t="str">
        <f ca="1">+WORLDCUP!BD60</f>
        <v>Escocia</v>
      </c>
      <c r="G481" s="9" t="str">
        <f ca="1">+WORLDCUP!BD58</f>
        <v>República Checa</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Catar</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Catar</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Catar</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Catar</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Catar</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Catar</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Catar</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Catar</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Catar</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Catar</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Catar</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Catar</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Catar</v>
      </c>
      <c r="F494" s="9" t="str">
        <f ca="1">+WORLDCUP!BD61</f>
        <v>Paraguay</v>
      </c>
      <c r="G494" s="9" t="str">
        <f ca="1">+WORLDCUP!BD58</f>
        <v>República Checa</v>
      </c>
      <c r="H494" s="9" t="str">
        <f ca="1">+WORLDCUP!BD63</f>
        <v>Suecia</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Catar</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Catar</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733</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2" zoomScaleNormal="100" workbookViewId="0">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5" customWidth="1"/>
    <col min="2" max="2" width="15.7109375" style="5" customWidth="1"/>
    <col min="3" max="3" width="35.7109375" style="5" customWidth="1"/>
    <col min="4" max="4" width="0.42578125" style="5" customWidth="1"/>
    <col min="5" max="5" width="10.7109375" style="5"/>
    <col min="6" max="6" width="0.42578125" style="5" customWidth="1"/>
    <col min="7" max="9" width="10.7109375" style="5"/>
    <col min="10" max="10" width="10.7109375" style="5" customWidth="1"/>
    <col min="11" max="11" width="4" style="5" customWidth="1"/>
    <col min="12" max="12" width="19.140625" style="5" customWidth="1"/>
    <col min="13" max="13" width="10.7109375" style="5"/>
    <col min="14" max="17" width="15.7109375" style="5" customWidth="1"/>
    <col min="18" max="18" width="22.7109375" style="5" customWidth="1"/>
    <col min="20" max="20" width="10.7109375" style="16"/>
    <col min="21" max="22" width="10.7109375" style="582"/>
    <col min="23" max="24" width="10.7109375" style="582" hidden="1" customWidth="1"/>
    <col min="25" max="25" width="10.7109375" style="582"/>
    <col min="26" max="28" width="10.7109375" style="407"/>
    <col min="29" max="149" width="10.7109375" style="5"/>
    <col min="150" max="158" width="10.7109375" style="407"/>
    <col min="159" max="16384" width="10.7109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89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899999999999999" customHeight="1">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899999999999999" customHeight="1">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899999999999999" customHeight="1">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899999999999999" customHeight="1">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899999999999999" customHeight="1">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899999999999999" customHeight="1">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8.15" customHeight="1" thickBot="1">
      <c r="A34" s="227"/>
      <c r="B34" s="721" t="str">
        <f>HYPERLINK(Idiomas!D10,Idiomas!D9)</f>
        <v>▼ Descargar Excel Administrador Porra ▼</v>
      </c>
      <c r="C34" s="722"/>
      <c r="D34" s="722"/>
      <c r="E34" s="722"/>
      <c r="F34" s="722"/>
      <c r="G34" s="722"/>
      <c r="H34" s="722"/>
      <c r="I34" s="722"/>
      <c r="J34" s="723"/>
      <c r="K34" s="227"/>
      <c r="L34" s="288" t="s">
        <v>1351</v>
      </c>
    </row>
    <row r="35" spans="1:17">
      <c r="A35" s="227"/>
      <c r="C35" s="227"/>
      <c r="D35" s="227"/>
      <c r="E35" s="227"/>
      <c r="F35" s="227"/>
      <c r="G35" s="227"/>
      <c r="H35" s="227"/>
      <c r="I35" s="227"/>
      <c r="J35" s="227"/>
      <c r="K35" s="227"/>
      <c r="L35" s="227"/>
      <c r="M35" s="226"/>
      <c r="N35" s="227"/>
      <c r="O35" s="227"/>
      <c r="P35" s="227"/>
      <c r="Q35" s="227"/>
    </row>
    <row r="36" spans="1:17" ht="28.1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15"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84" t="e" vm="51">
        <v>#VALUE!</v>
      </c>
      <c r="Y88" s="9">
        <v>4</v>
      </c>
      <c r="Z88" s="6"/>
      <c r="AA88" s="6"/>
      <c r="AB88" s="6"/>
    </row>
    <row r="89" spans="12:28" ht="15.75">
      <c r="L89" s="3"/>
      <c r="M89" s="3"/>
      <c r="N89" s="3"/>
      <c r="O89" s="6"/>
      <c r="P89" s="6"/>
      <c r="Q89" s="6"/>
      <c r="R89" s="6"/>
      <c r="T89" s="16" t="s">
        <v>1480</v>
      </c>
      <c r="U89" s="9" t="s">
        <v>1467</v>
      </c>
      <c r="V89" s="9" t="s">
        <v>1467</v>
      </c>
      <c r="W89" s="585" t="s">
        <v>1469</v>
      </c>
      <c r="X89" s="584" t="e" vm="52">
        <v>#VALUE!</v>
      </c>
      <c r="Y89" s="9">
        <v>-4</v>
      </c>
      <c r="Z89" s="6"/>
      <c r="AA89" s="6"/>
      <c r="AB89" s="6"/>
    </row>
    <row r="90" spans="12:28" ht="15.75">
      <c r="L90" s="3"/>
      <c r="M90" s="3"/>
      <c r="N90" s="3"/>
      <c r="O90" s="6"/>
      <c r="P90" s="6"/>
      <c r="Q90" s="6"/>
      <c r="R90" s="6"/>
      <c r="T90" s="16" t="s">
        <v>1481</v>
      </c>
      <c r="U90" s="9" t="s">
        <v>1468</v>
      </c>
      <c r="V90" s="9" t="s">
        <v>1471</v>
      </c>
      <c r="W90" s="586" t="s">
        <v>1470</v>
      </c>
      <c r="X90" s="584"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149999999999999" customHeight="1">
      <c r="L92" s="3"/>
      <c r="M92" s="3"/>
      <c r="N92" s="409" t="s">
        <v>1459</v>
      </c>
      <c r="O92" s="409" t="s">
        <v>1460</v>
      </c>
      <c r="P92" s="409" t="s">
        <v>1494</v>
      </c>
      <c r="Q92" s="409" t="s">
        <v>1482</v>
      </c>
      <c r="R92" s="409" t="s">
        <v>1474</v>
      </c>
      <c r="Z92" s="6"/>
      <c r="AA92" s="6"/>
      <c r="AB92" s="6"/>
    </row>
    <row r="93" spans="12:28" ht="25.15" customHeight="1">
      <c r="L93" s="3"/>
      <c r="M93" s="9" t="s">
        <v>1476</v>
      </c>
      <c r="N93" s="587" t="s">
        <v>1514</v>
      </c>
      <c r="O93" s="587" t="s">
        <v>1483</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1511</v>
      </c>
      <c r="FA6161" s="16" t="s">
        <v>1512</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1505</v>
      </c>
      <c r="FA6163" s="16" t="s">
        <v>1506</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1499</v>
      </c>
      <c r="FA6164" s="16" t="s">
        <v>1500</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1502</v>
      </c>
      <c r="FA6165" s="16" t="s">
        <v>1503</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1508</v>
      </c>
      <c r="FA6166" s="16"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6" bestFit="1" customWidth="1"/>
    <col min="2" max="2" width="16.7109375" style="6" customWidth="1"/>
    <col min="3" max="3" width="11.42578125" style="6" customWidth="1"/>
    <col min="4" max="4" width="8.71093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1513</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1507</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1501</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1504</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1510</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7109375" style="14"/>
    <col min="7" max="7" width="12.28515625" style="14" bestFit="1" customWidth="1"/>
    <col min="8" max="9" width="10.7109375" style="14"/>
    <col min="10" max="10" width="13.42578125" style="14" customWidth="1"/>
    <col min="11" max="15" width="10.7109375" style="14"/>
    <col min="16" max="16" width="4.7109375" style="14" bestFit="1" customWidth="1"/>
    <col min="17" max="17" width="17.71093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7109375" style="14"/>
    <col min="27" max="27" width="6.42578125" style="14" customWidth="1"/>
    <col min="28" max="33" width="10.7109375" style="14"/>
    <col min="34" max="34" width="3.28515625" style="14" bestFit="1" customWidth="1"/>
    <col min="35" max="16384" width="10.7109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1456</v>
      </c>
      <c r="G100" s="16"/>
      <c r="I100" s="16" t="s">
        <v>1455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730</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Adrián Gómez Quintana</cp:lastModifiedBy>
  <cp:lastPrinted>2018-12-06T18:06:35Z</cp:lastPrinted>
  <dcterms:created xsi:type="dcterms:W3CDTF">2015-10-31T09:41:54Z</dcterms:created>
  <dcterms:modified xsi:type="dcterms:W3CDTF">2026-06-11T15:52:13Z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861305-5482-45ef-a2b9-db150ff3ac55_Enabled">
    <vt:lpwstr>true</vt:lpwstr>
  </property>
  <property fmtid="{D5CDD505-2E9C-101B-9397-08002B2CF9AE}" pid="3" name="MSIP_Label_d1861305-5482-45ef-a2b9-db150ff3ac55_SetDate">
    <vt:lpwstr>2026-06-11T15:51:28Z</vt:lpwstr>
  </property>
  <property fmtid="{D5CDD505-2E9C-101B-9397-08002B2CF9AE}" pid="4" name="MSIP_Label_d1861305-5482-45ef-a2b9-db150ff3ac55_Method">
    <vt:lpwstr>Standard</vt:lpwstr>
  </property>
  <property fmtid="{D5CDD505-2E9C-101B-9397-08002B2CF9AE}" pid="5" name="MSIP_Label_d1861305-5482-45ef-a2b9-db150ff3ac55_Name">
    <vt:lpwstr>defa4170-0d19-0005-0004-bc88714345d2</vt:lpwstr>
  </property>
  <property fmtid="{D5CDD505-2E9C-101B-9397-08002B2CF9AE}" pid="6" name="MSIP_Label_d1861305-5482-45ef-a2b9-db150ff3ac55_SiteId">
    <vt:lpwstr>efeb1f61-b5d0-42d0-9fe8-74fe73b6c8c2</vt:lpwstr>
  </property>
  <property fmtid="{D5CDD505-2E9C-101B-9397-08002B2CF9AE}" pid="7" name="MSIP_Label_d1861305-5482-45ef-a2b9-db150ff3ac55_ActionId">
    <vt:lpwstr>3b5cac94-f57e-4c15-8e07-07c5dc50cf52</vt:lpwstr>
  </property>
  <property fmtid="{D5CDD505-2E9C-101B-9397-08002B2CF9AE}" pid="8" name="MSIP_Label_d1861305-5482-45ef-a2b9-db150ff3ac55_ContentBits">
    <vt:lpwstr>0</vt:lpwstr>
  </property>
  <property fmtid="{D5CDD505-2E9C-101B-9397-08002B2CF9AE}" pid="9" name="MSIP_Label_d1861305-5482-45ef-a2b9-db150ff3ac55_Tag">
    <vt:lpwstr>10, 3, 0, 1</vt:lpwstr>
  </property>
</Properties>
</file>