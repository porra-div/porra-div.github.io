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Eduardo\Documents\EDUARDO\MUNDIAL\"/>
    </mc:Choice>
  </mc:AlternateContent>
  <xr:revisionPtr revIDLastSave="0" documentId="13_ncr:1_{545BDB5E-687B-46D6-AF50-90ADFC41C604}"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E16" i="30" l="1"/>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B227" i="31"/>
  <c r="W1" i="3"/>
  <c r="AZ69" i="3"/>
  <c r="Z64" i="3"/>
  <c r="Z81" i="3"/>
  <c r="Z96" i="3"/>
  <c r="Z73" i="3"/>
  <c r="Z17" i="3"/>
  <c r="Z80" i="3"/>
  <c r="Z56" i="3"/>
  <c r="Z33" i="3"/>
  <c r="AJ29" i="3"/>
  <c r="AJ21" i="3"/>
  <c r="AJ45" i="3"/>
  <c r="C253" i="31"/>
  <c r="C258" i="31"/>
  <c r="D72" i="36"/>
  <c r="AY3" i="3" s="1"/>
  <c r="D273" i="36"/>
  <c r="EU6144" i="34"/>
  <c r="G227" i="36" s="1"/>
  <c r="D227" i="36" s="1"/>
  <c r="K27" i="6" s="1"/>
  <c r="E17" i="30"/>
  <c r="AC19" i="3"/>
  <c r="AC83" i="3"/>
  <c r="AC91" i="3"/>
  <c r="AC75" i="3"/>
  <c r="AC35" i="3"/>
  <c r="AC142" i="3"/>
  <c r="AC130" i="3"/>
  <c r="AC27" i="3"/>
  <c r="AC119" i="3"/>
  <c r="AC67" i="3"/>
  <c r="AC59" i="3"/>
  <c r="BF5" i="3"/>
  <c r="BF57" i="3" s="1"/>
  <c r="AN13" i="3"/>
  <c r="AN45" i="3"/>
  <c r="Y119" i="3"/>
  <c r="Y100" i="3"/>
  <c r="Y142" i="3"/>
  <c r="AO61" i="3"/>
  <c r="AO29" i="3"/>
  <c r="AO13" i="3"/>
  <c r="Z28" i="3"/>
  <c r="Z61" i="3"/>
  <c r="Z84" i="3"/>
  <c r="Z52" i="3"/>
  <c r="Z20" i="3"/>
  <c r="Z44" i="3"/>
  <c r="Z92" i="3"/>
  <c r="Z93" i="3"/>
  <c r="AA162" i="3"/>
  <c r="D258" i="36"/>
  <c r="AD19" i="3"/>
  <c r="AT53" i="3"/>
  <c r="B34" i="34"/>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31"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36"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N93" i="3"/>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Z30"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F100" i="3"/>
  <c r="AF130" i="3"/>
  <c r="AJ37" i="3"/>
  <c r="Z78" i="3" l="1"/>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AG158" i="3" s="1"/>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5" i="3" l="1"/>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20" i="3"/>
  <c r="BL26"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16" i="32"/>
  <c r="X116" i="3" s="1"/>
  <c r="C108" i="32"/>
  <c r="Y108" i="3" s="1"/>
  <c r="C25" i="32"/>
  <c r="X25" i="3" s="1"/>
  <c r="C61" i="32"/>
  <c r="X61" i="3" s="1"/>
  <c r="C17" i="32"/>
  <c r="X17" i="3" s="1"/>
  <c r="C79" i="32"/>
  <c r="Y79" i="3" s="1"/>
  <c r="C94" i="32"/>
  <c r="X94" i="3" s="1"/>
  <c r="C45" i="32"/>
  <c r="X45" i="3" s="1"/>
  <c r="C102" i="32"/>
  <c r="X102" i="3" s="1"/>
  <c r="C78" i="32"/>
  <c r="Y78" i="3" s="1"/>
  <c r="C113" i="32"/>
  <c r="X113" i="3" s="1"/>
  <c r="C21" i="32"/>
  <c r="X21" i="3" s="1"/>
  <c r="C16" i="32"/>
  <c r="X16" i="3" s="1"/>
  <c r="C114" i="32"/>
  <c r="X114" i="3" s="1"/>
  <c r="C23" i="32"/>
  <c r="X23" i="3" s="1"/>
  <c r="C64" i="32"/>
  <c r="Y64" i="3" s="1"/>
  <c r="C9" i="32"/>
  <c r="X9" i="3" s="1"/>
  <c r="C13" i="32"/>
  <c r="Y13" i="3" s="1"/>
  <c r="C33" i="32"/>
  <c r="X33" i="3" s="1"/>
  <c r="C28" i="32"/>
  <c r="X28"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4" i="32" l="1"/>
  <c r="X4" i="3" s="1"/>
  <c r="C92" i="32"/>
  <c r="X92" i="3" s="1"/>
  <c r="C12" i="32"/>
  <c r="X12" i="3" s="1"/>
  <c r="C62" i="32"/>
  <c r="Y62" i="3" s="1"/>
  <c r="C139" i="32"/>
  <c r="X139" i="3" s="1"/>
  <c r="C81" i="32"/>
  <c r="X81" i="3" s="1"/>
  <c r="C86" i="32"/>
  <c r="X86" i="3" s="1"/>
  <c r="C7" i="32"/>
  <c r="X7" i="3" s="1"/>
  <c r="C20" i="32"/>
  <c r="Y20" i="3" s="1"/>
  <c r="C38" i="32"/>
  <c r="Y38" i="3" s="1"/>
  <c r="C103" i="32"/>
  <c r="X103" i="3" s="1"/>
  <c r="C14" i="32"/>
  <c r="X14" i="3" s="1"/>
  <c r="C56" i="32"/>
  <c r="X56" i="3" s="1"/>
  <c r="C57" i="32"/>
  <c r="Y57" i="3" s="1"/>
  <c r="C6" i="32"/>
  <c r="X6" i="3" s="1"/>
  <c r="C125" i="32"/>
  <c r="Y125" i="3" s="1"/>
  <c r="C110" i="32"/>
  <c r="X110" i="3" s="1"/>
  <c r="C115" i="32"/>
  <c r="Y115" i="3" s="1"/>
  <c r="C29" i="32"/>
  <c r="Y29" i="3" s="1"/>
  <c r="C65" i="32"/>
  <c r="Y65" i="3" s="1"/>
  <c r="C122" i="32"/>
  <c r="Y122" i="3" s="1"/>
  <c r="C53" i="32"/>
  <c r="Y53" i="3" s="1"/>
  <c r="C95" i="32"/>
  <c r="X95" i="3" s="1"/>
  <c r="C105" i="32"/>
  <c r="X105" i="3" s="1"/>
  <c r="C124" i="32"/>
  <c r="Y124" i="3" s="1"/>
  <c r="C31" i="32"/>
  <c r="Y31" i="3" s="1"/>
  <c r="C138" i="32"/>
  <c r="Y138" i="3" s="1"/>
  <c r="C143" i="32"/>
  <c r="X143" i="3" s="1"/>
  <c r="C49" i="32"/>
  <c r="X49" i="3" s="1"/>
  <c r="C48" i="32"/>
  <c r="Y48"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81" i="3"/>
  <c r="X108" i="3"/>
  <c r="Y116" i="3"/>
  <c r="Y102" i="3"/>
  <c r="Y61" i="3"/>
  <c r="X65" i="3"/>
  <c r="Y25" i="3"/>
  <c r="Y17" i="3"/>
  <c r="Y7" i="3"/>
  <c r="Y113" i="3"/>
  <c r="Y9" i="3"/>
  <c r="X62" i="3"/>
  <c r="X106" i="3"/>
  <c r="Y21" i="3"/>
  <c r="X78" i="3"/>
  <c r="X101" i="3"/>
  <c r="Y28" i="3"/>
  <c r="Y94" i="3"/>
  <c r="Y16" i="3"/>
  <c r="X79" i="3"/>
  <c r="X55" i="3"/>
  <c r="Y86" i="3"/>
  <c r="Y4" i="3"/>
  <c r="Y45" i="3"/>
  <c r="Y92" i="3"/>
  <c r="Y85" i="3"/>
  <c r="X13" i="3"/>
  <c r="X64" i="3"/>
  <c r="Y120" i="3"/>
  <c r="X5" i="3"/>
  <c r="X20" i="3"/>
  <c r="Y23" i="3"/>
  <c r="Y139" i="3"/>
  <c r="Y127" i="3"/>
  <c r="Y114" i="3"/>
  <c r="Y41" i="3"/>
  <c r="X134" i="3"/>
  <c r="X54" i="3"/>
  <c r="Y12" i="3"/>
  <c r="Y88" i="3"/>
  <c r="X93" i="3"/>
  <c r="Y84" i="3"/>
  <c r="X60" i="3"/>
  <c r="Y33" i="3"/>
  <c r="X69" i="3"/>
  <c r="X38" i="3" l="1"/>
  <c r="Y103" i="3"/>
  <c r="Y14" i="3"/>
  <c r="X57" i="3"/>
  <c r="Y95" i="3"/>
  <c r="Y6" i="3"/>
  <c r="Y56" i="3"/>
  <c r="X125" i="3"/>
  <c r="X29" i="3"/>
  <c r="Y110" i="3"/>
  <c r="X115" i="3"/>
  <c r="X122" i="3"/>
  <c r="X53" i="3"/>
  <c r="Y105" i="3"/>
  <c r="X124" i="3"/>
  <c r="X31" i="3"/>
  <c r="Y143" i="3"/>
  <c r="X138" i="3"/>
  <c r="Y49" i="3"/>
  <c r="X48" i="3"/>
  <c r="X131" i="3"/>
  <c r="Y112" i="3"/>
  <c r="Y121" i="3"/>
  <c r="X63" i="3"/>
  <c r="Y133" i="3"/>
  <c r="X44" i="3"/>
  <c r="X47" i="3"/>
  <c r="X32" i="3"/>
  <c r="Y76" i="3"/>
  <c r="Y22" i="3"/>
  <c r="X126" i="3"/>
  <c r="Y104" i="3"/>
  <c r="X24" i="3"/>
  <c r="X111" i="3"/>
  <c r="X123" i="3"/>
  <c r="Y77" i="3"/>
  <c r="X68" i="3"/>
  <c r="Y30" i="3"/>
  <c r="X89"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F93" i="3"/>
  <c r="E95" i="3"/>
  <c r="BU51" i="3" s="1"/>
  <c r="BU53" i="3"/>
  <c r="E47" i="3"/>
  <c r="E49" i="3"/>
  <c r="F45" i="3"/>
  <c r="E37" i="3"/>
  <c r="F40"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W28" i="3"/>
  <c r="E45" i="3"/>
  <c r="BW29" i="3" s="1"/>
  <c r="F92" i="3"/>
  <c r="F95" i="3"/>
  <c r="BW53" i="3" s="1"/>
  <c r="E97" i="3"/>
  <c r="BV52" i="3" s="1"/>
  <c r="F81" i="3"/>
  <c r="E76" i="3"/>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F80" i="3"/>
  <c r="E77" i="3"/>
  <c r="F78" i="3"/>
  <c r="BU42" i="3" s="1"/>
  <c r="BU44" i="3"/>
  <c r="BW36" i="3"/>
  <c r="E61" i="3"/>
  <c r="BW37" i="3" s="1"/>
  <c r="F62" i="3"/>
  <c r="BU36" i="3"/>
  <c r="F64" i="3"/>
  <c r="BU35" i="3" s="1"/>
  <c r="F72" i="3"/>
  <c r="E68" i="3"/>
  <c r="BW39" i="3" s="1"/>
  <c r="BW38" i="3"/>
  <c r="BU38" i="3"/>
  <c r="E70" i="3"/>
  <c r="BW50" i="3" l="1"/>
  <c r="BW42" i="3"/>
  <c r="BU41" i="3"/>
  <c r="BU34" i="3"/>
  <c r="BW35" i="3"/>
  <c r="BU37" i="3"/>
  <c r="BU27" i="3"/>
  <c r="BW23" i="3"/>
  <c r="BU23" i="3"/>
  <c r="BW25"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I24" i="3"/>
  <c r="H23" i="3"/>
  <c r="H20" i="3"/>
  <c r="H78" i="3" l="1"/>
  <c r="I22" i="3"/>
  <c r="H25"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13" i="3"/>
  <c r="K14" i="3"/>
  <c r="L87" i="3"/>
  <c r="K24" i="3" l="1"/>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0"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H40" i="3"/>
  <c r="CK40" i="3" s="1"/>
  <c r="CH11" i="3"/>
  <c r="O12" i="3" s="1"/>
  <c r="CH14" i="3"/>
  <c r="CH13" i="3"/>
  <c r="O13" i="3" s="1"/>
  <c r="O94" i="3"/>
  <c r="CI36" i="3"/>
  <c r="N61" i="3"/>
  <c r="O64" i="3"/>
  <c r="N79" i="3"/>
  <c r="N96" i="3"/>
  <c r="O97" i="3"/>
  <c r="O93" i="3"/>
  <c r="N95" i="3"/>
  <c r="O95" i="3" l="1"/>
  <c r="O47" i="3"/>
  <c r="O44" i="3"/>
  <c r="N29" i="3"/>
  <c r="CJ50" i="3"/>
  <c r="O55" i="3"/>
  <c r="O33" i="3"/>
  <c r="CJ19" i="3" s="1"/>
  <c r="N9" i="3"/>
  <c r="N36" i="3"/>
  <c r="O41" i="3"/>
  <c r="O4" i="3"/>
  <c r="O69" i="3"/>
  <c r="CI35" i="3"/>
  <c r="N72" i="3"/>
  <c r="CK21" i="3"/>
  <c r="O30" i="3"/>
  <c r="N32" i="3"/>
  <c r="CJ18" i="3" s="1"/>
  <c r="N7" i="3"/>
  <c r="O29" i="3"/>
  <c r="CI20" i="3" s="1"/>
  <c r="N49" i="3"/>
  <c r="N52" i="3"/>
  <c r="CK31" i="3" s="1"/>
  <c r="N54" i="3"/>
  <c r="CK32" i="3" s="1"/>
  <c r="CI44" i="3"/>
  <c r="N37" i="3"/>
  <c r="CI25" i="3" s="1"/>
  <c r="N8" i="3"/>
  <c r="CI6" i="3" s="1"/>
  <c r="CK22" i="3"/>
  <c r="CK41" i="3"/>
  <c r="O52" i="3"/>
  <c r="CI30" i="3" s="1"/>
  <c r="N97" i="3"/>
  <c r="O77" i="3"/>
  <c r="N80" i="3"/>
  <c r="N55" i="3"/>
  <c r="CI31" i="3" s="1"/>
  <c r="N81" i="3"/>
  <c r="N84" i="3"/>
  <c r="CI45" i="3"/>
  <c r="O5" i="3"/>
  <c r="CK8" i="3" s="1"/>
  <c r="N47" i="3"/>
  <c r="CK46" i="3"/>
  <c r="CI33" i="3"/>
  <c r="O53" i="3"/>
  <c r="CI32" i="3" s="1"/>
  <c r="O79" i="3"/>
  <c r="N6" i="3"/>
  <c r="N86" i="3"/>
  <c r="O32" i="3"/>
  <c r="CI21" i="3" s="1"/>
  <c r="CI12" i="3"/>
  <c r="CI43" i="3"/>
  <c r="N88" i="3"/>
  <c r="N30" i="3"/>
  <c r="CK6" i="3"/>
  <c r="CK18" i="3"/>
  <c r="CK43" i="3"/>
  <c r="CI18" i="3"/>
  <c r="CK25" i="3"/>
  <c r="N73" i="3"/>
  <c r="N15" i="3"/>
  <c r="CI11" i="3"/>
  <c r="O96" i="3"/>
  <c r="CJ53" i="3" s="1"/>
  <c r="CL53" i="3" s="1"/>
  <c r="CK34" i="3"/>
  <c r="CI39" i="3"/>
  <c r="CK30" i="3"/>
  <c r="N68" i="3"/>
  <c r="CK50" i="3"/>
  <c r="O40" i="3"/>
  <c r="O15" i="3"/>
  <c r="N65" i="3"/>
  <c r="O9" i="3"/>
  <c r="CI23" i="3"/>
  <c r="O36" i="3"/>
  <c r="CJ22" i="3" s="1"/>
  <c r="O61" i="3"/>
  <c r="CJ36" i="3" s="1"/>
  <c r="CL36" i="3" s="1"/>
  <c r="CI8" i="3"/>
  <c r="CI47" i="3"/>
  <c r="CK37" i="3"/>
  <c r="N13" i="3"/>
  <c r="O68" i="3"/>
  <c r="O57" i="3"/>
  <c r="O65" i="3"/>
  <c r="N40" i="3"/>
  <c r="O31" i="3"/>
  <c r="CJ21" i="3" s="1"/>
  <c r="N92" i="3"/>
  <c r="CK51" i="3" s="1"/>
  <c r="CK12" i="3"/>
  <c r="N77" i="3"/>
  <c r="CK45" i="3" s="1"/>
  <c r="CK44" i="3"/>
  <c r="CI19" i="3"/>
  <c r="CI50" i="3"/>
  <c r="O25" i="3"/>
  <c r="O37" i="3"/>
  <c r="CI24" i="3" s="1"/>
  <c r="N5" i="3"/>
  <c r="CJ9" i="3" s="1"/>
  <c r="O72" i="3"/>
  <c r="O84" i="3"/>
  <c r="CI46" i="3" s="1"/>
  <c r="CK39" i="3"/>
  <c r="O87" i="3"/>
  <c r="N60" i="3"/>
  <c r="CK35" i="3" s="1"/>
  <c r="O78" i="3"/>
  <c r="O23" i="3"/>
  <c r="N94" i="3"/>
  <c r="CK52" i="3" s="1"/>
  <c r="N39" i="3"/>
  <c r="CK23" i="3" s="1"/>
  <c r="CK38" i="3"/>
  <c r="CI52" i="3"/>
  <c r="N4" i="3"/>
  <c r="CK7" i="3" s="1"/>
  <c r="CK19" i="3"/>
  <c r="N87" i="3"/>
  <c r="N25" i="3"/>
  <c r="CK16" i="3" s="1"/>
  <c r="O22" i="3"/>
  <c r="N76" i="3"/>
  <c r="CJ43" i="3" s="1"/>
  <c r="O49" i="3"/>
  <c r="CI29" i="3" s="1"/>
  <c r="N46" i="3"/>
  <c r="CJ28" i="3" s="1"/>
  <c r="N53" i="3"/>
  <c r="CK33" i="3" s="1"/>
  <c r="CK28" i="3"/>
  <c r="CK48" i="3"/>
  <c r="N85" i="3"/>
  <c r="CI49" i="3" s="1"/>
  <c r="N44" i="3"/>
  <c r="CK27" i="3" s="1"/>
  <c r="N12" i="3"/>
  <c r="O54" i="3"/>
  <c r="O89" i="3"/>
  <c r="O56" i="3"/>
  <c r="N24" i="3"/>
  <c r="O46" i="3"/>
  <c r="CI26" i="3" s="1"/>
  <c r="CI28" i="3"/>
  <c r="O21" i="3"/>
  <c r="CI16" i="3" s="1"/>
  <c r="N45" i="3"/>
  <c r="CK29" i="3" s="1"/>
  <c r="N16" i="3"/>
  <c r="CI10" i="3" s="1"/>
  <c r="CI48" i="3"/>
  <c r="CK26" i="3"/>
  <c r="CJ48" i="3"/>
  <c r="O20" i="3"/>
  <c r="CI14" i="3" s="1"/>
  <c r="N33" i="3"/>
  <c r="CK10" i="3"/>
  <c r="N69" i="3"/>
  <c r="O73" i="3"/>
  <c r="O60" i="3"/>
  <c r="CI34" i="3" s="1"/>
  <c r="O63" i="3"/>
  <c r="CI37" i="3" s="1"/>
  <c r="CI40" i="3"/>
  <c r="O70" i="3"/>
  <c r="CI38" i="3" s="1"/>
  <c r="CK17" i="3"/>
  <c r="N22" i="3"/>
  <c r="CK42" i="3"/>
  <c r="N78" i="3"/>
  <c r="O81" i="3"/>
  <c r="CI13" i="3"/>
  <c r="N14" i="3"/>
  <c r="CK13" i="3"/>
  <c r="N23" i="3"/>
  <c r="N20" i="3"/>
  <c r="CI15" i="3" s="1"/>
  <c r="O24" i="3"/>
  <c r="N17" i="3"/>
  <c r="O14" i="3"/>
  <c r="CK53" i="3"/>
  <c r="CK14" i="3"/>
  <c r="CK49" i="3"/>
  <c r="CI51" i="3" l="1"/>
  <c r="CK47" i="3"/>
  <c r="CI41" i="3"/>
  <c r="CK36" i="3"/>
  <c r="CI27" i="3"/>
  <c r="CK24" i="3"/>
  <c r="CI22" i="3"/>
  <c r="CL22" i="3" s="1"/>
  <c r="CK20" i="3"/>
  <c r="CK11"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89" i="3"/>
  <c r="R37" i="3"/>
  <c r="Q17" i="3"/>
  <c r="R86" i="3"/>
  <c r="R14" i="3"/>
  <c r="R78" i="3" l="1"/>
  <c r="R29" i="3"/>
  <c r="Q9" i="3"/>
  <c r="R6" i="3"/>
  <c r="R80" i="3"/>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U57" i="3"/>
  <c r="U37" i="3" l="1"/>
  <c r="CT24" i="3" s="1"/>
  <c r="T41"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T23" i="3"/>
  <c r="U69" i="3"/>
  <c r="CT40" i="3" s="1"/>
  <c r="T55" i="3"/>
  <c r="CT31" i="3" s="1"/>
  <c r="U97" i="3"/>
  <c r="CT51" i="3" s="1"/>
  <c r="U6" i="3"/>
  <c r="T25" i="3"/>
  <c r="CT34" i="3"/>
  <c r="U79" i="3"/>
  <c r="T60" i="3"/>
  <c r="CT35" i="3" s="1"/>
  <c r="T4" i="3"/>
  <c r="CT7" i="3" s="1"/>
  <c r="T62" i="3"/>
  <c r="T7" i="3"/>
  <c r="U20" i="3"/>
  <c r="T48" i="3"/>
  <c r="CT28" i="3" s="1"/>
  <c r="U44" i="3"/>
  <c r="U76" i="3"/>
  <c r="CT43" i="3"/>
  <c r="U46" i="3"/>
  <c r="T45" i="3"/>
  <c r="T47" i="3"/>
  <c r="T9" i="3"/>
  <c r="T49" i="3"/>
  <c r="CT15" i="3"/>
  <c r="CT49" i="3"/>
  <c r="CT11" i="3" l="1"/>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N33" i="3" a="1"/>
  <c r="DN33" i="3" s="1"/>
  <c r="DL39" i="3"/>
  <c r="AU71" i="3" s="1"/>
  <c r="DL38" i="3"/>
  <c r="AU70" i="3" s="1"/>
  <c r="DL17" i="3"/>
  <c r="AU25" i="3" s="1"/>
  <c r="DM33" i="3"/>
  <c r="DN31" i="3" a="1"/>
  <c r="DN31" i="3" s="1"/>
  <c r="DN49" i="3" l="1"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5" i="3" l="1"/>
  <c r="D114" i="3"/>
  <c r="D112" i="3"/>
  <c r="D102" i="3"/>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2" i="3"/>
  <c r="D121"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M132" i="3"/>
  <c r="AA132" i="3" s="1"/>
  <c r="D132" i="3" s="1"/>
  <c r="AG124" i="3"/>
  <c r="M131" i="3"/>
  <c r="AA131" i="3" s="1"/>
  <c r="D131" i="3" s="1"/>
  <c r="AG121" i="3"/>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20" i="3" l="1"/>
  <c r="BS63" i="3"/>
  <c r="BS68" i="3"/>
  <c r="BS66" i="3"/>
  <c r="BS65" i="3"/>
  <c r="BS58" i="3"/>
  <c r="BS69" i="3"/>
  <c r="BS60" i="3"/>
  <c r="BS64" i="3"/>
  <c r="BS67" i="3"/>
  <c r="BS62" i="3"/>
  <c r="BS61" i="3"/>
  <c r="BS59" i="3"/>
  <c r="C190" i="31"/>
  <c r="AE11" i="45"/>
  <c r="B200" i="31"/>
  <c r="AG126" i="3"/>
  <c r="N138" i="3"/>
  <c r="AF138" i="3" s="1"/>
  <c r="AG132" i="3"/>
  <c r="M138" i="3"/>
  <c r="AA138" i="3" s="1"/>
  <c r="AG131" i="3"/>
  <c r="C211" i="31"/>
  <c r="AI19" i="45"/>
  <c r="C212" i="31"/>
  <c r="AI31" i="45"/>
  <c r="AI43" i="45"/>
  <c r="C21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AI8" i="45" l="1"/>
  <c r="B220" i="31"/>
  <c r="C220" i="31"/>
  <c r="C214" i="31"/>
  <c r="BV61" i="3"/>
  <c r="BV60" i="3"/>
  <c r="BV66" i="3"/>
  <c r="BV69" i="3"/>
  <c r="BV65" i="3"/>
  <c r="BV68" i="3"/>
  <c r="BV62" i="3"/>
  <c r="BV59" i="3"/>
  <c r="BV64" i="3"/>
  <c r="BV58" i="3"/>
  <c r="BV67" i="3"/>
  <c r="BV63" i="3"/>
  <c r="D147" i="3"/>
  <c r="AG147" i="3" s="1"/>
  <c r="AA150" i="3"/>
  <c r="AA152" i="3"/>
  <c r="D143" i="3"/>
  <c r="AG143" i="3" s="1"/>
  <c r="C240"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C189" i="31"/>
  <c r="B207" i="31"/>
  <c r="C207" i="31"/>
  <c r="AE46" i="45"/>
  <c r="D125" i="3"/>
  <c r="C187" i="31"/>
  <c r="B205" i="31"/>
  <c r="C205" i="31"/>
  <c r="AE22" i="45"/>
  <c r="D123" i="3"/>
  <c r="C185" i="31"/>
  <c r="AE34" i="45"/>
  <c r="C203" i="31"/>
  <c r="B203" i="31"/>
  <c r="AG127" i="3" l="1"/>
  <c r="N134" i="3"/>
  <c r="AF134" i="3" s="1"/>
  <c r="D134" i="3" s="1"/>
  <c r="N132" i="3"/>
  <c r="AF132" i="3" s="1"/>
  <c r="AG125" i="3"/>
  <c r="N133" i="3"/>
  <c r="AF133" i="3" s="1"/>
  <c r="D133" i="3" s="1"/>
  <c r="AG123" i="3"/>
  <c r="AG134" i="3" l="1"/>
  <c r="N139" i="3"/>
  <c r="AF139" i="3" s="1"/>
  <c r="AG133" i="3"/>
  <c r="M139" i="3"/>
  <c r="AA139" i="3" s="1"/>
  <c r="AI44" i="45"/>
  <c r="C217" i="31"/>
  <c r="C223" i="31"/>
  <c r="B223" i="31"/>
  <c r="C221" i="31"/>
  <c r="C215" i="31"/>
  <c r="B221" i="31"/>
  <c r="AI20" i="45"/>
  <c r="B222" i="31"/>
  <c r="C222" i="31"/>
  <c r="AI32" i="45"/>
  <c r="C216" i="31"/>
  <c r="H139" i="3" l="1"/>
  <c r="AF143" i="3"/>
  <c r="AF147" i="3"/>
  <c r="D139" i="3"/>
  <c r="AM38" i="45" a="1"/>
  <c r="AM38" i="45" s="1"/>
  <c r="C229" i="31"/>
  <c r="C227" i="31"/>
  <c r="C233" i="31"/>
  <c r="AM37" i="45"/>
  <c r="B233" i="31"/>
  <c r="H147" i="3" l="1"/>
  <c r="AA151" i="3"/>
  <c r="AU26" i="45"/>
  <c r="C241" i="31"/>
  <c r="C247" i="31"/>
  <c r="B247" i="31"/>
  <c r="AG139" i="3"/>
  <c r="N143" i="3"/>
  <c r="N147" i="3"/>
  <c r="C237" i="31"/>
  <c r="B244" i="31"/>
  <c r="AQ32" i="45"/>
  <c r="C244" i="31"/>
  <c r="C251" i="31" l="1"/>
  <c r="BB23" i="45"/>
  <c r="AG151" i="3"/>
  <c r="AJ155" i="3"/>
  <c r="AJ151" i="3"/>
  <c r="BN34" i="45" l="1"/>
  <c r="BL34" i="45" s="1"/>
  <c r="BK34" i="45" s="1"/>
  <c r="BJ34" i="45" s="1"/>
  <c r="BI34" i="45" s="1"/>
  <c r="BH34" i="45" s="1"/>
  <c r="BN49" i="45"/>
  <c r="BL49" i="45" s="1"/>
  <c r="BK49" i="45" s="1"/>
  <c r="BJ49" i="45" s="1"/>
  <c r="BI49" i="45" s="1"/>
  <c r="BH49" i="45" s="1"/>
  <c r="BN4" i="45"/>
  <c r="BL4" i="45" s="1"/>
  <c r="BK4" i="45" s="1"/>
  <c r="BJ4" i="45" s="1"/>
  <c r="BI4" i="45" s="1"/>
  <c r="BH4" i="45" s="1"/>
  <c r="BN28" i="45"/>
  <c r="BL28" i="45" s="1"/>
  <c r="BK28" i="45" s="1"/>
  <c r="BJ28" i="45" s="1"/>
  <c r="BI28" i="45" s="1"/>
  <c r="BH28" i="45" s="1"/>
  <c r="BN40" i="45"/>
  <c r="BL40" i="45" s="1"/>
  <c r="BK40" i="45" s="1"/>
  <c r="BJ40" i="45" s="1"/>
  <c r="BI40" i="45" s="1"/>
  <c r="BH40" i="45" s="1"/>
  <c r="BN16" i="45"/>
  <c r="BL16" i="45" s="1"/>
  <c r="BK16" i="45" s="1"/>
  <c r="BJ16" i="45" s="1"/>
  <c r="BI16" i="45" s="1"/>
  <c r="BH16" i="45" s="1"/>
  <c r="BN19" i="45"/>
  <c r="BL19" i="45" s="1"/>
  <c r="BK19" i="45" s="1"/>
  <c r="BJ19" i="45" s="1"/>
  <c r="BI19" i="45" s="1"/>
  <c r="BH19" i="45" s="1"/>
  <c r="BN24" i="45"/>
  <c r="BL24" i="45" s="1"/>
  <c r="BK24" i="45" s="1"/>
  <c r="BJ24" i="45" s="1"/>
  <c r="BI24" i="45" s="1"/>
  <c r="BH24" i="45" s="1"/>
  <c r="BN27" i="45"/>
  <c r="BL27" i="45" s="1"/>
  <c r="BK27" i="45" s="1"/>
  <c r="BJ27" i="45" s="1"/>
  <c r="BI27" i="45" s="1"/>
  <c r="BH27" i="45" s="1"/>
  <c r="BN39" i="45"/>
  <c r="BL39" i="45" s="1"/>
  <c r="BK39" i="45" s="1"/>
  <c r="BJ39" i="45" s="1"/>
  <c r="BI39" i="45" s="1"/>
  <c r="BH39" i="45" s="1"/>
  <c r="BN36" i="45"/>
  <c r="BL36" i="45" s="1"/>
  <c r="BK36" i="45" s="1"/>
  <c r="BJ36" i="45" s="1"/>
  <c r="BI36" i="45" s="1"/>
  <c r="BH36" i="45" s="1"/>
  <c r="BN45" i="45"/>
  <c r="BL45" i="45" s="1"/>
  <c r="BK45" i="45" s="1"/>
  <c r="BJ45" i="45" s="1"/>
  <c r="BI45" i="45" s="1"/>
  <c r="BH45" i="45" s="1"/>
  <c r="BN48" i="45"/>
  <c r="BL48" i="45" s="1"/>
  <c r="BK48" i="45" s="1"/>
  <c r="BJ48" i="45" s="1"/>
  <c r="BI48" i="45" s="1"/>
  <c r="BH48" i="45" s="1"/>
  <c r="BN20" i="45"/>
  <c r="BL20" i="45" s="1"/>
  <c r="BK20" i="45" s="1"/>
  <c r="BJ20" i="45" s="1"/>
  <c r="BI20" i="45" s="1"/>
  <c r="BH20" i="45" s="1"/>
  <c r="BN41" i="45"/>
  <c r="BL41" i="45" s="1"/>
  <c r="BK41" i="45" s="1"/>
  <c r="BJ41" i="45" s="1"/>
  <c r="BI41" i="45" s="1"/>
  <c r="BH41" i="45" s="1"/>
  <c r="BN30" i="45"/>
  <c r="BL30" i="45" s="1"/>
  <c r="BK30" i="45" s="1"/>
  <c r="BJ30" i="45" s="1"/>
  <c r="BI30" i="45" s="1"/>
  <c r="BH30" i="45" s="1"/>
  <c r="BN5" i="45"/>
  <c r="BL5" i="45" s="1"/>
  <c r="BK5" i="45" s="1"/>
  <c r="BJ5" i="45" s="1"/>
  <c r="BI5" i="45" s="1"/>
  <c r="BH5" i="45" s="1"/>
  <c r="BN43" i="45"/>
  <c r="BL43" i="45" s="1"/>
  <c r="BK43" i="45" s="1"/>
  <c r="BJ43" i="45" s="1"/>
  <c r="BI43" i="45" s="1"/>
  <c r="BH43" i="45" s="1"/>
  <c r="BN42" i="45"/>
  <c r="BL42" i="45" s="1"/>
  <c r="BK42" i="45" s="1"/>
  <c r="BJ42" i="45" s="1"/>
  <c r="BI42" i="45" s="1"/>
  <c r="BH42" i="45" s="1"/>
  <c r="BN33" i="45"/>
  <c r="BL33" i="45" s="1"/>
  <c r="BK33" i="45" s="1"/>
  <c r="BJ33" i="45" s="1"/>
  <c r="BI33" i="45" s="1"/>
  <c r="BH33" i="45" s="1"/>
  <c r="BN17" i="45"/>
  <c r="BL17" i="45" s="1"/>
  <c r="BK17" i="45" s="1"/>
  <c r="BJ17" i="45" s="1"/>
  <c r="BI17" i="45" s="1"/>
  <c r="BH17" i="45" s="1"/>
  <c r="BN13" i="45"/>
  <c r="BL13" i="45" s="1"/>
  <c r="BK13" i="45" s="1"/>
  <c r="BJ13" i="45" s="1"/>
  <c r="BI13" i="45" s="1"/>
  <c r="BH13" i="45" s="1"/>
  <c r="BN21" i="45"/>
  <c r="BL21" i="45" s="1"/>
  <c r="BK21" i="45" s="1"/>
  <c r="BJ21" i="45" s="1"/>
  <c r="BI21" i="45" s="1"/>
  <c r="BH21" i="45" s="1"/>
  <c r="BN50" i="45"/>
  <c r="BL50" i="45" s="1"/>
  <c r="BK50" i="45" s="1"/>
  <c r="BJ50" i="45" s="1"/>
  <c r="BI50" i="45" s="1"/>
  <c r="BH50" i="45" s="1"/>
  <c r="BN7" i="45"/>
  <c r="BL7" i="45" s="1"/>
  <c r="BK7" i="45" s="1"/>
  <c r="BJ7" i="45" s="1"/>
  <c r="BI7" i="45" s="1"/>
  <c r="BH7" i="45" s="1"/>
  <c r="BN14" i="45"/>
  <c r="BL14" i="45" s="1"/>
  <c r="BK14" i="45" s="1"/>
  <c r="BJ14" i="45" s="1"/>
  <c r="BI14" i="45" s="1"/>
  <c r="BH14" i="45" s="1"/>
  <c r="BN23" i="45"/>
  <c r="BL23" i="45" s="1"/>
  <c r="BK23" i="45" s="1"/>
  <c r="BJ23" i="45" s="1"/>
  <c r="BI23" i="45" s="1"/>
  <c r="BH23" i="45" s="1"/>
  <c r="BN31" i="45"/>
  <c r="BL31" i="45" s="1"/>
  <c r="BK31" i="45" s="1"/>
  <c r="BJ31" i="45" s="1"/>
  <c r="BI31" i="45" s="1"/>
  <c r="BH31" i="45" s="1"/>
  <c r="BN6" i="45"/>
  <c r="BL6" i="45" s="1"/>
  <c r="BK6" i="45" s="1"/>
  <c r="BJ6" i="45" s="1"/>
  <c r="BI6" i="45" s="1"/>
  <c r="BH6" i="45" s="1"/>
  <c r="BN18" i="45"/>
  <c r="BL18" i="45" s="1"/>
  <c r="BK18" i="45" s="1"/>
  <c r="BJ18" i="45" s="1"/>
  <c r="BI18" i="45" s="1"/>
  <c r="BH18" i="45" s="1"/>
  <c r="BN8" i="45"/>
  <c r="BL8" i="45" s="1"/>
  <c r="BK8" i="45" s="1"/>
  <c r="BJ8" i="45" s="1"/>
  <c r="BI8" i="45" s="1"/>
  <c r="BH8" i="45" s="1"/>
  <c r="BN46" i="45"/>
  <c r="BL46" i="45" s="1"/>
  <c r="BK46" i="45" s="1"/>
  <c r="BJ46" i="45" s="1"/>
  <c r="BI46" i="45" s="1"/>
  <c r="BH46" i="45" s="1"/>
  <c r="BN47" i="45"/>
  <c r="BL47" i="45" s="1"/>
  <c r="BK47" i="45" s="1"/>
  <c r="BJ47" i="45" s="1"/>
  <c r="BI47" i="45" s="1"/>
  <c r="BH47" i="45" s="1"/>
  <c r="BN12" i="45"/>
  <c r="BL12" i="45" s="1"/>
  <c r="BK12" i="45" s="1"/>
  <c r="BJ12" i="45" s="1"/>
  <c r="BI12" i="45" s="1"/>
  <c r="BH12" i="45" s="1"/>
  <c r="BN38" i="45"/>
  <c r="BL38" i="45" s="1"/>
  <c r="BK38" i="45" s="1"/>
  <c r="BJ38" i="45" s="1"/>
  <c r="BI38" i="45" s="1"/>
  <c r="BH38" i="45" s="1"/>
  <c r="BN35" i="45"/>
  <c r="BL35" i="45" s="1"/>
  <c r="BK35" i="45" s="1"/>
  <c r="BJ35" i="45" s="1"/>
  <c r="BI35" i="45" s="1"/>
  <c r="BH35" i="45" s="1"/>
  <c r="BN15" i="45"/>
  <c r="BL15" i="45" s="1"/>
  <c r="BK15" i="45" s="1"/>
  <c r="BJ15" i="45" s="1"/>
  <c r="BI15" i="45" s="1"/>
  <c r="BH15" i="45" s="1"/>
  <c r="BN37" i="45"/>
  <c r="BL37" i="45" s="1"/>
  <c r="BK37" i="45" s="1"/>
  <c r="BJ37" i="45" s="1"/>
  <c r="BI37" i="45" s="1"/>
  <c r="BH37" i="45" s="1"/>
  <c r="BN25" i="45"/>
  <c r="BL25" i="45" s="1"/>
  <c r="BK25" i="45" s="1"/>
  <c r="BJ25" i="45" s="1"/>
  <c r="BI25" i="45" s="1"/>
  <c r="BH25" i="45" s="1"/>
  <c r="BN11" i="45"/>
  <c r="BL11" i="45" s="1"/>
  <c r="BK11" i="45" s="1"/>
  <c r="BJ11" i="45" s="1"/>
  <c r="BI11" i="45" s="1"/>
  <c r="BH11" i="45" s="1"/>
  <c r="BN29" i="45"/>
  <c r="BL29" i="45" s="1"/>
  <c r="BK29" i="45" s="1"/>
  <c r="BJ29" i="45" s="1"/>
  <c r="BI29" i="45" s="1"/>
  <c r="BH29" i="45" s="1"/>
  <c r="BN44" i="45"/>
  <c r="BL44" i="45" s="1"/>
  <c r="BK44" i="45" s="1"/>
  <c r="BJ44" i="45" s="1"/>
  <c r="BI44" i="45" s="1"/>
  <c r="BH44" i="45" s="1"/>
  <c r="BN51" i="45"/>
  <c r="BL51" i="45" s="1"/>
  <c r="BK51" i="45" s="1"/>
  <c r="BJ51" i="45" s="1"/>
  <c r="BI51" i="45" s="1"/>
  <c r="BH51" i="45" s="1"/>
  <c r="BN22" i="45"/>
  <c r="BL22" i="45" s="1"/>
  <c r="BK22" i="45" s="1"/>
  <c r="BJ22" i="45" s="1"/>
  <c r="BI22" i="45" s="1"/>
  <c r="BH22" i="45" s="1"/>
  <c r="BN9" i="45"/>
  <c r="BL9" i="45" s="1"/>
  <c r="BK9" i="45" s="1"/>
  <c r="BJ9" i="45" s="1"/>
  <c r="BI9" i="45" s="1"/>
  <c r="BH9" i="45" s="1"/>
  <c r="BN32" i="45"/>
  <c r="BL32" i="45" s="1"/>
  <c r="BK32" i="45" s="1"/>
  <c r="BJ32" i="45" s="1"/>
  <c r="BI32" i="45" s="1"/>
  <c r="BH32" i="45" s="1"/>
  <c r="BN10" i="45"/>
  <c r="BL10" i="45" s="1"/>
  <c r="BK10" i="45" s="1"/>
  <c r="BJ10" i="45" s="1"/>
  <c r="BI10" i="45" s="1"/>
  <c r="BH10" i="45" s="1"/>
  <c r="BN26" i="45"/>
  <c r="BL26" i="45" s="1"/>
  <c r="BK26" i="45" s="1"/>
  <c r="BJ26" i="45" s="1"/>
  <c r="BI26" i="45" s="1"/>
  <c r="BH26"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<sst xmlns="http://schemas.openxmlformats.org/spreadsheetml/2006/main" count="6764" uniqueCount="1522">
  <si>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</si>
  <si>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</si>
  <si>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</si>
  <si>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</si>
  <si>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</si>
  <si>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</si>
  <si>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</si>
  <si>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</si>
  <si>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</si>
  <si>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</si>
  <si>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</si>
  <si>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</si>
  <si>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</si>
  <si>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</si>
  <si>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</si>
  <si>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</si>
  <si>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</si>
  <si>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</si>
  <si>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</si>
  <si>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</si>
  <si>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</si>
  <si>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</si>
  <si>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</si>
  <si>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</si>
  <si>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</si>
  <si>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</si>
  <si>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</si>
  <si>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</si>
  <si>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</si>
  <si>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</si>
  <si>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</si>
  <si>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</si>
  <si>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</si>
  <si>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</si>
  <si>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</si>
  <si>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</si>
  <si>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</si>
  <si>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</si>
  <si>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</si>
  <si>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</si>
  <si>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</si>
  <si>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</si>
  <si>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</si>
  <si>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</si>
  <si>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</si>
  <si>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</si>
  <si>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</si>
  <si>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</si>
  <si>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</si>
  <si>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</si>
  <si>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</si>
  <si>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</si>
  <si>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</si>
  <si>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</si>
  <si>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</si>
  <si>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</si>
  <si>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</si>
  <si>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</si>
  <si>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</si>
  <si>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</si>
  <si>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</si>
  <si>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</si>
  <si>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</si>
  <si>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</si>
  <si>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</si>
  <si>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</si>
  <si>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</si>
  <si>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</si>
  <si>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</si>
  <si>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</si>
  <si>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</si>
  <si>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</si>
  <si>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</si>
  <si>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</si>
  <si>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</si>
  <si>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</si>
  <si>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</si>
  <si>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</si>
  <si>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</si>
  <si>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</si>
  <si>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</si>
  <si>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</si>
  <si>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</si>
  <si>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</si>
  <si>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</si>
  <si>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</si>
  <si>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</si>
  <si>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</si>
  <si>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</si>
  <si>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</si>
  <si>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</si>
  <si>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</si>
  <si>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</si>
  <si>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</si>
  <si>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</si>
  <si>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</si>
  <si>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</si>
  <si>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</si>
  <si>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</si>
  <si>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</si>
  <si>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</si>
  <si>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</si>
  <si>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</si>
  <si>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</si>
  <si>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</si>
  <si>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</si>
  <si>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</si>
  <si>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</si>
  <si>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</si>
  <si>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</si>
  <si>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</si>
  <si>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</si>
  <si>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</si>
  <si>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</si>
  <si>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</si>
  <si>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</si>
  <si>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</si>
  <si>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</si>
  <si>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</si>
  <si>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</si>
  <si>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</si>
  <si>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</si>
  <si>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</si>
  <si>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</si>
  <si>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</si>
  <si>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</si>
  <si>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</si>
  <si>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</si>
  <si>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</si>
  <si>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</si>
  <si>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</si>
  <si>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</si>
  <si>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</si>
  <si>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</si>
  <si>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</si>
  <si>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</si>
  <si>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</si>
  <si>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</si>
  <si>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</si>
  <si>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</si>
  <si>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</si>
  <si>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</si>
  <si>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</si>
  <si>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</si>
  <si>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</si>
  <si>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</si>
  <si>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</si>
  <si>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</si>
  <si>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</si>
  <si>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</si>
  <si>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</si>
  <si>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</si>
  <si>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</si>
  <si>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</si>
  <si>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</si>
  <si>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</si>
  <si>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</si>
  <si>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</si>
  <si>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</si>
  <si>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</si>
  <si>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</si>
  <si>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</si>
  <si>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</si>
  <si>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</si>
  <si>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</si>
  <si>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</si>
  <si>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</si>
  <si>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</si>
  <si>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</si>
  <si>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</si>
  <si>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</si>
  <si>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</si>
  <si>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</si>
  <si>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</si>
  <si>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</si>
  <si>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</si>
  <si>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</si>
  <si>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</si>
  <si>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</si>
  <si>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</si>
  <si>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</si>
  <si>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</si>
  <si>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</si>
  <si>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</si>
  <si>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</si>
  <si>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</si>
  <si>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</si>
  <si>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</si>
  <si>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</si>
  <si>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</si>
  <si>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</si>
  <si>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</si>
  <si>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</si>
  <si>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</si>
  <si>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</si>
  <si>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</si>
  <si>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</si>
  <si>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</si>
  <si>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</si>
  <si>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</si>
  <si>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</si>
  <si>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</si>
  <si>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</si>
  <si>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</si>
  <si>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</si>
  <si>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</si>
  <si>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</si>
  <si>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</si>
  <si>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</si>
  <si>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</si>
  <si>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</si>
  <si>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</si>
  <si>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</si>
  <si>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</si>
  <si>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</si>
  <si>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</si>
  <si>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</si>
  <si>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</si>
  <si>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</si>
  <si>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</si>
  <si>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</si>
  <si>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</si>
  <si>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</si>
  <si>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</si>
  <si>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</si>
  <si>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</si>
  <si>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</si>
  <si>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</si>
  <si>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</si>
  <si>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</si>
  <si>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</si>
  <si>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</si>
  <si>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</si>
  <si>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</si>
  <si>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</si>
  <si>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</si>
  <si>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</si>
  <si>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</si>
  <si>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</si>
  <si>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</si>
  <si>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</si>
  <si>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</si>
  <si>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</si>
  <si>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</si>
  <si>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</si>
  <si>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</si>
  <si>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</si>
  <si>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</si>
  <si>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</si>
  <si>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</si>
  <si>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</si>
  <si>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</si>
  <si>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</si>
  <si>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</si>
  <si>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</si>
  <si>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</si>
  <si>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</si>
  <si>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</si>
  <si>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</si>
  <si>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</si>
  <si>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</si>
  <si>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</si>
  <si>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</si>
  <si>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</si>
  <si>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</si>
  <si>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</si>
  <si>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</si>
  <si>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</si>
  <si>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</si>
  <si>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</si>
  <si>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</si>
  <si>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</si>
  <si>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</si>
  <si>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</si>
  <si>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</si>
  <si>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</si>
  <si>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</si>
  <si>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</si>
  <si>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</si>
  <si>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</si>
  <si>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</si>
  <si>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</si>
  <si>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</si>
  <si>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</si>
  <si>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</si>
  <si>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</si>
  <si>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</si>
  <si>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</si>
  <si>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</si>
  <si>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</si>
  <si>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</si>
  <si>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</si>
  <si>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</si>
  <si>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</si>
  <si>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</si>
  <si>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</si>
  <si>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</si>
  <si>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</si>
  <si>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</si>
  <si>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</si>
  <si>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</si>
  <si>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</si>
  <si>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</si>
  <si>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</si>
  <si>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</si>
  <si>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</si>
  <si>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</si>
  <si>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</si>
  <si>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</si>
  <si>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</si>
  <si>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</si>
  <si>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</si>
  <si>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</si>
  <si>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</si>
  <si>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</si>
  <si>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</si>
  <si>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</si>
  <si>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</si>
  <si>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</si>
  <si>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</si>
  <si>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</si>
  <si>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</si>
  <si>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</si>
  <si>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</si>
  <si>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</si>
  <si>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</si>
  <si>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</si>
  <si>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</si>
  <si>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</si>
  <si>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</si>
  <si>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</si>
  <si>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</si>
  <si>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</si>
  <si>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</si>
  <si>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</si>
  <si>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</si>
  <si>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</si>
  <si>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</si>
  <si>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</si>
  <si>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</si>
  <si>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</si>
  <si>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</si>
  <si>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</si>
  <si>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</si>
  <si>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</si>
  <si>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</si>
  <si>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</si>
  <si>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</si>
  <si>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</si>
  <si>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</si>
  <si>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</si>
  <si>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</si>
  <si>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</si>
  <si>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</si>
  <si>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</si>
  <si>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</si>
  <si>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</si>
  <si>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</si>
  <si>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</si>
  <si>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</si>
  <si>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</si>
  <si>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</si>
  <si>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</si>
  <si>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</si>
  <si>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</si>
  <si>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</si>
  <si>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</si>
  <si>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</si>
  <si>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</si>
  <si>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</si>
  <si>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</si>
  <si>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</si>
  <si>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</si>
  <si>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</si>
  <si>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</si>
  <si>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</si>
  <si>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</si>
  <si>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</si>
  <si>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</si>
  <si>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</si>
  <si>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</si>
  <si>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</si>
  <si>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</si>
  <si>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</si>
  <si>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</si>
  <si>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</si>
  <si>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</si>
  <si>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</si>
  <si>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</si>
  <si>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</si>
  <si>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</si>
  <si>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</si>
  <si>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</si>
  <si>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</si>
  <si>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</si>
  <si>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</si>
  <si>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</si>
  <si>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</si>
  <si>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</si>
  <si>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</si>
  <si>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</si>
  <si>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</si>
  <si>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</si>
  <si>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</si>
  <si>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</si>
  <si>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</si>
  <si>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</si>
  <si>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</si>
  <si>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</si>
  <si>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</si>
  <si>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</si>
  <si>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</si>
  <si>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</si>
  <si>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</si>
  <si>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</si>
  <si>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</si>
  <si>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</si>
  <si>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</si>
  <si>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</si>
  <si>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</si>
  <si>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</si>
  <si>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</si>
  <si>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</si>
  <si>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</si>
  <si>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</si>
  <si>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</si>
  <si>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</si>
  <si>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</si>
  <si>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</si>
  <si>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</si>
  <si>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</si>
  <si>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</si>
  <si>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</si>
  <si>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</si>
  <si>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</si>
  <si>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</si>
  <si>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</si>
  <si>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</si>
  <si>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</si>
  <si>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</si>
  <si>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</si>
  <si>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</si>
  <si>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</si>
  <si>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</si>
  <si>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</si>
  <si>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</si>
  <si>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</si>
  <si>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</si>
  <si>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</si>
  <si>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</si>
  <si>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</si>
  <si>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</si>
  <si>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</si>
  <si>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</si>
  <si>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</si>
  <si>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</si>
  <si>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</si>
  <si>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</si>
  <si>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</si>
  <si>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</si>
  <si>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</si>
  <si>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</si>
  <si>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</si>
  <si>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</si>
  <si>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</si>
  <si>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</si>
  <si>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</si>
  <si>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</si>
  <si>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</si>
  <si>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</si>
  <si>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</si>
  <si>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</si>
  <si>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</si>
  <si>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</si>
  <si>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</si>
  <si>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</si>
  <si>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</si>
  <si>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</si>
  <si>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</si>
  <si>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</si>
  <si>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</si>
  <si>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</si>
  <si>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</si>
  <si>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</si>
  <si>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</si>
  <si>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</si>
  <si>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</si>
  <si>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</si>
  <si>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</si>
  <si>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</si>
  <si>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</si>
  <si>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</si>
  <si>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</si>
  <si>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</si>
  <si>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</si>
  <si>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</si>
  <si>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</si>
  <si>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</si>
  <si>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</si>
  <si>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</si>
  <si>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</si>
  <si>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</si>
  <si>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</si>
  <si>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</si>
  <si>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</si>
  <si>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</si>
  <si>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</si>
  <si>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</si>
  <si>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</si>
  <si>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</si>
  <si>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</si>
  <si>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</si>
  <si>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</si>
  <si>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</si>
  <si>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</si>
  <si>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</si>
  <si>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</si>
  <si>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</si>
  <si>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</si>
  <si>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</si>
  <si>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</si>
  <si>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</si>
  <si>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</si>
  <si>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</si>
  <si>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</si>
  <si>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</si>
  <si>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</si>
  <si>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</si>
  <si>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</si>
  <si>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</si>
  <si>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</si>
  <si>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</si>
  <si>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</si>
  <si>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</si>
  <si>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</si>
  <si>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</si>
  <si>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</si>
  <si>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</si>
  <si>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</si>
  <si>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</si>
  <si>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</si>
  <si>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</si>
  <si>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</si>
  <si>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</si>
  <si>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</si>
  <si>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</si>
  <si>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</si>
  <si>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</si>
  <si>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</si>
  <si>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</si>
  <si>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</si>
  <si>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</si>
  <si>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</si>
  <si>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</si>
  <si>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</si>
  <si>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</si>
  <si>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</si>
  <si>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</si>
  <si>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</si>
  <si>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</si>
  <si>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</si>
  <si>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</si>
  <si>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</si>
  <si>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</si>
  <si>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</si>
  <si>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</si>
  <si>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</si>
  <si>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</si>
  <si>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</si>
  <si>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</si>
  <si>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</si>
  <si>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</si>
  <si>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</si>
  <si>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</si>
  <si>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</si>
  <si>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</si>
  <si>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</si>
  <si>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</si>
  <si>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</si>
  <si>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</si>
  <si>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</si>
  <si>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</si>
  <si>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</si>
  <si>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</si>
  <si>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</si>
  <si>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</si>
  <si>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</si>
  <si>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</si>
  <si>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</si>
  <si>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</si>
  <si>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</si>
  <si>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</si>
  <si>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</si>
  <si>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</si>
  <si>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</si>
  <si>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</si>
  <si>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</si>
  <si>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</si>
  <si>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</si>
  <si>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</si>
  <si>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</si>
  <si>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</si>
  <si>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</si>
  <si>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</si>
  <si>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</si>
  <si>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</si>
  <si>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</si>
  <si>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</si>
  <si>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</si>
  <si>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</si>
  <si>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</si>
  <si>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</si>
  <si>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</si>
  <si>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</si>
  <si>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</si>
  <si>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</si>
  <si>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</si>
  <si>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</si>
  <si>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</si>
  <si>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</si>
  <si>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</si>
  <si>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</si>
  <si>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</si>
  <si>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</si>
  <si>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</si>
  <si>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</si>
  <si>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</si>
  <si>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</si>
  <si>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</si>
  <si>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</si>
  <si>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</si>
  <si>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</si>
  <si>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</si>
  <si>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</si>
  <si>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</si>
  <si>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</si>
  <si>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</si>
  <si>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</si>
  <si>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</si>
  <si>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</si>
  <si>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</si>
  <si>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</si>
  <si>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</si>
  <si>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</si>
  <si>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</si>
  <si>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</si>
  <si>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</si>
  <si>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</si>
  <si>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</si>
  <si>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</si>
  <si>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</si>
  <si>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</si>
  <si>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</si>
  <si>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</si>
  <si>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</si>
  <si>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</si>
  <si>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</si>
  <si>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</si>
  <si>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</si>
  <si>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</si>
  <si>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</si>
  <si>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</si>
  <si>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</si>
  <si>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</si>
  <si>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</si>
  <si>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</si>
  <si>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</si>
  <si>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</si>
  <si>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</si>
  <si>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</si>
  <si>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</si>
  <si>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</si>
  <si>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</si>
  <si>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</si>
  <si>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</si>
  <si>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</si>
  <si>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</si>
  <si>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</si>
  <si>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</si>
  <si>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</si>
  <si>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</si>
  <si>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</si>
  <si>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</si>
  <si>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</si>
  <si>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</si>
  <si>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</si>
  <si>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</si>
  <si>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</si>
  <si>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</si>
  <si>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</si>
  <si>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</si>
  <si>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</si>
  <si>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</si>
  <si>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</si>
  <si>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</si>
  <si>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</si>
  <si>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</si>
  <si>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</si>
  <si>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</si>
  <si>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</si>
  <si>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</si>
  <si>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</si>
  <si>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</si>
  <si>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</si>
  <si>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</si>
  <si>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</si>
  <si>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</si>
  <si>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</si>
  <si>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</si>
  <si>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</si>
  <si>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</si>
  <si>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</si>
  <si>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</si>
  <si>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</si>
  <si>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</si>
  <si>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</si>
  <si>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</si>
  <si>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</si>
  <si>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</si>
  <si>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</si>
  <si>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</si>
  <si>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</si>
  <si>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</si>
  <si>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</si>
  <si>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</si>
  <si>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</si>
  <si>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</si>
  <si>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</si>
  <si>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</si>
  <si>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</si>
  <si>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</si>
  <si>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</si>
  <si>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</si>
  <si>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</si>
  <si>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</si>
  <si>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</si>
  <si>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</si>
  <si>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</si>
  <si>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</si>
  <si>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</si>
  <si>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</si>
  <si>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</si>
  <si>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</si>
  <si>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</si>
  <si>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</si>
  <si>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</si>
  <si>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</si>
  <si>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</si>
  <si>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</si>
  <si>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</si>
  <si>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</si>
  <si>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</si>
  <si>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</si>
  <si>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</si>
  <si>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</si>
  <si>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</si>
  <si>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</si>
  <si>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</si>
  <si>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</si>
  <si>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</si>
  <si>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</si>
  <si>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</si>
  <si>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</si>
  <si>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</si>
  <si>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</si>
  <si>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</si>
  <si>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</si>
  <si>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</si>
  <si>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</si>
  <si>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</si>
  <si>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</si>
  <si>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</si>
  <si>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</si>
  <si>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</si>
  <si>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</si>
  <si>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</si>
  <si>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</si>
  <si>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</si>
  <si>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</si>
  <si>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</si>
  <si>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</si>
  <si>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</si>
  <si>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</si>
  <si>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</si>
  <si>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</si>
  <si>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</si>
  <si>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</si>
  <si>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</si>
  <si>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</si>
  <si>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</si>
  <si>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</si>
  <si>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</si>
  <si>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</si>
  <si>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</si>
  <si>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</si>
  <si>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</si>
  <si>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</si>
  <si>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</si>
  <si>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</si>
  <si>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</si>
  <si>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</si>
  <si>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</si>
  <si>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</si>
  <si>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</si>
  <si>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</si>
  <si>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</si>
  <si>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</si>
  <si>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</si>
  <si>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</si>
  <si>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</si>
  <si>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</si>
  <si>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</si>
  <si>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</si>
  <si>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</si>
  <si>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</si>
  <si>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</si>
  <si>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</si>
  <si>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</si>
  <si>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</si>
  <si>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</si>
  <si>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</si>
  <si>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</si>
  <si>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</si>
  <si>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</si>
  <si>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</si>
  <si>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</si>
  <si>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</si>
  <si>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</si>
  <si>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</si>
  <si>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</si>
  <si>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</si>
  <si>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</si>
  <si>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</si>
  <si>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</si>
  <si>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</si>
  <si>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</si>
  <si>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</si>
  <si>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</si>
  <si>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</si>
  <si>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</si>
  <si>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</si>
  <si>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</si>
  <si>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</si>
  <si>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</si>
  <si>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</si>
  <si>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</si>
  <si>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</si>
  <si>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</si>
  <si>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</si>
  <si>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</si>
  <si>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</si>
  <si>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</si>
  <si>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</si>
  <si>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</si>
  <si>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</si>
  <si>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</si>
  <si>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</si>
  <si>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</si>
  <si>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</si>
  <si>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</si>
  <si>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</si>
  <si>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</si>
  <si>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</si>
  <si>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</si>
  <si>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</si>
  <si>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</si>
  <si>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</si>
  <si>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</si>
  <si>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</si>
  <si>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</si>
  <si>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</si>
  <si>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</si>
  <si>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</si>
  <si>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</si>
  <si>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</si>
  <si>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</si>
  <si>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</si>
  <si>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</si>
  <si>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</si>
  <si>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</si>
  <si>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</si>
  <si>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</si>
  <si>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</si>
  <si>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</si>
  <si>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</si>
  <si>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</si>
  <si>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</si>
  <si>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</si>
  <si>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</si>
  <si>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</si>
  <si>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</si>
  <si>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</si>
  <si>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</si>
  <si>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</si>
  <si>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</si>
  <si>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</si>
  <si>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</si>
  <si>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</si>
  <si>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</si>
  <si>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</si>
  <si>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</si>
  <si>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</si>
  <si>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</si>
  <si>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</si>
  <si>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</si>
  <si>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</si>
  <si>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</si>
  <si>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</si>
  <si>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</si>
  <si>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</si>
  <si>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</si>
  <si>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</si>
  <si>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</si>
  <si>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</si>
  <si>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</si>
  <si>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</si>
  <si>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</si>
  <si>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</si>
  <si>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</si>
  <si>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</si>
  <si>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</si>
  <si>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</si>
  <si>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</si>
  <si>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</si>
  <si>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</si>
  <si>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</si>
  <si>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</si>
  <si>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</si>
  <si>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</si>
  <si>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</si>
  <si>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</si>
  <si>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</si>
  <si>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</si>
  <si>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</si>
  <si>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</si>
  <si>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</si>
  <si>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</si>
  <si>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</si>
  <si>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</si>
  <si>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</si>
  <si>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</si>
  <si>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</si>
  <si>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</si>
  <si>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</si>
  <si>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</si>
  <si>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</si>
  <si>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</si>
  <si>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</si>
  <si>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</si>
  <si>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</si>
  <si>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</si>
  <si>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</si>
  <si>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</si>
  <si>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</si>
  <si>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</si>
  <si>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</si>
  <si>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</si>
  <si>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</si>
  <si>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</si>
  <si>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</si>
  <si>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</si>
  <si>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</si>
  <si>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</si>
  <si>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</si>
  <si>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</si>
  <si>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</si>
  <si>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</si>
  <si>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</si>
  <si>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</si>
  <si>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</si>
  <si>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</si>
  <si>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</si>
  <si>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</si>
  <si>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</si>
  <si>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</si>
  <si>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</si>
  <si>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</si>
  <si>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</si>
  <si>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</si>
  <si>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</si>
  <si>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</si>
  <si>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</si>
  <si>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</si>
  <si>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</si>
  <si>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</si>
  <si>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</si>
  <si>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</si>
  <si>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</si>
  <si>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</si>
  <si>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</si>
  <si>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</si>
  <si>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</si>
  <si>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</si>
  <si>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</si>
  <si>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</si>
  <si>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</si>
  <si>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</si>
  <si>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</si>
  <si>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</si>
  <si>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</si>
  <si>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</si>
  <si>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</si>
  <si>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</si>
  <si>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</si>
  <si>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</si>
  <si>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</si>
  <si>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</si>
  <si>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</si>
  <si>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</si>
  <si>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</si>
  <si>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</si>
  <si>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</si>
  <si>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</si>
  <si>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</si>
  <si>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</si>
  <si>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</si>
  <si>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</si>
  <si>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</si>
  <si>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</si>
  <si>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</si>
  <si>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</si>
  <si>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</si>
  <si>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</si>
  <si>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</si>
  <si>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</si>
  <si>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</si>
  <si>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</si>
  <si>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</si>
  <si>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</si>
  <si>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</si>
  <si>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</si>
  <si>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</si>
  <si>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</si>
  <si>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</si>
  <si>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</si>
  <si>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</si>
  <si>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</si>
  <si>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</si>
  <si>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</si>
  <si>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</si>
  <si>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</si>
  <si>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</si>
  <si>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</si>
  <si>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</si>
  <si>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</si>
  <si>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</si>
  <si>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</si>
  <si>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</si>
  <si>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</si>
  <si>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</si>
  <si>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</si>
  <si>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</si>
  <si>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</si>
  <si>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</si>
  <si>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</si>
  <si>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</si>
  <si>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</si>
  <si>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</si>
  <si>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</si>
  <si>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</si>
  <si>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</si>
  <si>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</si>
  <si>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</si>
  <si>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</si>
  <si>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</si>
  <si>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</si>
  <si>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</si>
  <si>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</si>
  <si>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</si>
  <si>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</si>
  <si>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</si>
  <si>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</si>
  <si>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</si>
  <si>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</si>
  <si>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</si>
  <si>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</si>
  <si>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</si>
  <si>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</si>
  <si>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</si>
  <si>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</si>
  <si>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</si>
  <si>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</si>
  <si>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</si>
  <si>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</si>
  <si>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</si>
  <si>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</si>
  <si>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</si>
  <si>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</si>
  <si>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</si>
  <si>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</si>
  <si>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</si>
  <si>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</si>
  <si>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</si>
  <si>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</si>
  <si>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</si>
  <si>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</si>
  <si>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</si>
  <si>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</si>
  <si>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</si>
  <si>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</si>
  <si>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</si>
  <si>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</si>
  <si>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</si>
  <si>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</si>
  <si>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</si>
  <si>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</si>
  <si>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</si>
  <si>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</si>
  <si>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</si>
  <si>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</si>
  <si>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</si>
  <si>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</si>
  <si>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</si>
  <si>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</si>
  <si>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</si>
  <si>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</si>
  <si>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</si>
  <si>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</si>
  <si>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</si>
  <si>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</si>
  <si>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</si>
  <si>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</si>
  <si>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</si>
  <si>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</si>
  <si>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</si>
  <si>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</si>
  <si>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</si>
  <si>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</si>
  <si>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</si>
  <si>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</si>
  <si>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</si>
  <si>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</si>
  <si>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</si>
  <si>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</si>
  <si>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</si>
  <si>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</si>
  <si>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</si>
  <si>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</si>
  <si>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</si>
  <si>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</si>
  <si>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</si>
  <si>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</si>
  <si>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</si>
  <si>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</si>
  <si>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</si>
  <si>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</si>
  <si>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</si>
  <si>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</si>
  <si>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</si>
  <si>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</si>
  <si>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</si>
  <si>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</si>
  <si>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</si>
  <si>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</si>
  <si>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</si>
  <si>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</si>
  <si>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</si>
  <si>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</si>
  <si>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</si>
  <si>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</si>
  <si>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</si>
  <si>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</si>
  <si>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</si>
  <si>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</si>
  <si>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</si>
  <si>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</si>
  <si>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</si>
  <si>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</si>
  <si>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</si>
  <si>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</si>
  <si>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</si>
  <si>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</si>
  <si>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</si>
  <si>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</si>
  <si>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</si>
  <si>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</si>
  <si>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</si>
  <si>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</si>
  <si>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</si>
  <si>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</si>
  <si>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</si>
  <si>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</si>
  <si>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</si>
  <si>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</si>
  <si>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</si>
  <si>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</si>
  <si>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</si>
  <si>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</si>
  <si>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</si>
  <si>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</si>
  <si>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</si>
  <si>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</si>
  <si>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</si>
  <si>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</si>
  <si>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</si>
  <si>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</si>
  <si>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</si>
  <si>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</si>
  <si>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</si>
  <si>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</si>
  <si>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</si>
  <si>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</si>
  <si>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</si>
  <si>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</si>
  <si>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</si>
  <si>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</si>
  <si>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</si>
  <si>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</si>
  <si>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</si>
  <si>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</si>
  <si>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</si>
  <si>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</si>
  <si>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</si>
  <si>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</si>
  <si>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</si>
  <si>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</si>
  <si>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</si>
  <si>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</si>
  <si>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</si>
  <si>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</si>
  <si>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</si>
  <si>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</si>
  <si>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</si>
  <si>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</si>
  <si>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</si>
  <si>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</si>
  <si>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</si>
  <si>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</si>
  <si>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</si>
  <si>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</si>
  <si>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</si>
  <si>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</si>
  <si>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</si>
  <si>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</si>
  <si>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</si>
  <si>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</si>
  <si>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</si>
  <si>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</si>
  <si>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</si>
  <si>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</si>
  <si>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</si>
  <si>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</si>
  <si>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</si>
  <si>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</si>
  <si>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</si>
  <si>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</si>
  <si>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</si>
  <si>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</si>
  <si>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</si>
  <si>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</si>
  <si>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</si>
  <si>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</si>
  <si>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</si>
  <si>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</si>
  <si>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</si>
  <si>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</si>
  <si>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</si>
  <si>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</si>
  <si>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</si>
  <si>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</si>
  <si>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</si>
  <si>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</si>
  <si>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</si>
  <si>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</si>
  <si>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</si>
  <si>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</si>
  <si>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</si>
  <si>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</si>
  <si>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</si>
  <si>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</si>
  <si>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</si>
  <si>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</si>
  <si>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</si>
  <si>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</si>
  <si>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</si>
  <si>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</si>
  <si>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</si>
  <si>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</si>
  <si>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</si>
  <si>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</si>
  <si>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</si>
  <si>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</si>
  <si>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</si>
  <si>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</si>
  <si>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</si>
  <si>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</si>
  <si>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</si>
  <si>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</si>
  <si>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</si>
  <si>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</si>
  <si>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</si>
  <si>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</si>
  <si>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</si>
  <si>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</si>
  <si>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</si>
  <si>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</si>
  <si>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</si>
  <si>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</si>
  <si>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</si>
  <si>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</si>
  <si>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</si>
  <si>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</si>
  <si>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</si>
  <si>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</si>
  <si>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</si>
  <si>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</si>
  <si>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</si>
  <si>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</si>
  <si>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</si>
  <si>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</si>
  <si>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</si>
  <si>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</si>
  <si>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</si>
  <si>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</si>
  <si>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</si>
  <si>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</si>
  <si>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</si>
  <si>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</si>
  <si>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</si>
  <si>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</si>
  <si>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</si>
  <si>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</si>
  <si>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</si>
  <si>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</si>
  <si>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</si>
  <si>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</si>
  <si>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</si>
  <si>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</si>
  <si>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</si>
  <si>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</si>
  <si>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</si>
  <si>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</si>
  <si>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</si>
  <si>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</si>
  <si>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</si>
  <si>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</si>
  <si>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</si>
  <si>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</si>
  <si>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</si>
  <si>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</si>
  <si>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</si>
  <si>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</si>
  <si>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</si>
  <si>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</si>
  <si>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</si>
  <si>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</si>
  <si>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</si>
  <si>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</si>
  <si>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</si>
  <si>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</si>
  <si>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</si>
  <si>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</si>
  <si>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</si>
  <si>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</si>
  <si>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</si>
  <si>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</si>
  <si>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</si>
  <si>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</si>
  <si>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</si>
  <si>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</si>
  <si>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</si>
  <si>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</si>
  <si>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</si>
  <si>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</si>
  <si>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</si>
  <si>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</si>
  <si>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</si>
  <si>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</si>
  <si>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</si>
  <si>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</si>
  <si>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</si>
  <si>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</si>
  <si>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</si>
  <si>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</si>
  <si>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</si>
  <si>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</si>
  <si>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</si>
  <si>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</si>
  <si>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</si>
  <si>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</si>
  <si>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</si>
  <si>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</si>
  <si>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</si>
  <si>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</si>
  <si>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</si>
  <si>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</si>
  <si>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</si>
  <si>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</si>
  <si>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</si>
  <si>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</si>
  <si>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</si>
  <si>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</si>
  <si>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</si>
  <si>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</si>
  <si>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</si>
  <si>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</si>
  <si>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</si>
  <si>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</si>
  <si>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</si>
  <si>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</si>
  <si>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</si>
  <si>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</si>
  <si>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</si>
  <si>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</si>
  <si>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</si>
  <si>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</si>
  <si>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</si>
  <si>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</si>
  <si>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</si>
  <si>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</si>
  <si>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</si>
  <si>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</si>
  <si>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</si>
  <si>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</si>
  <si>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</si>
  <si>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</si>
  <si>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</si>
  <si>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</si>
  <si>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</si>
  <si>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</si>
  <si>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</si>
  <si>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</si>
  <si>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</si>
  <si>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</si>
  <si>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</si>
  <si>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</si>
  <si>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</si>
  <si>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</si>
  <si>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</si>
  <si>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</si>
  <si>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</si>
  <si>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</si>
  <si>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</si>
  <si>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</si>
  <si>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</si>
  <si>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</si>
  <si>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</si>
  <si>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</si>
  <si>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</si>
  <si>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</si>
  <si>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</si>
  <si>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</si>
  <si>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</si>
  <si>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</si>
  <si>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</si>
  <si>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</si>
  <si>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</si>
  <si>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</si>
  <si>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</si>
  <si>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</si>
  <si>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</si>
  <si>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</si>
  <si>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</si>
  <si>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</si>
  <si>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</si>
  <si>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</si>
  <si>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</si>
  <si>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</si>
  <si>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</si>
  <si>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</si>
  <si>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</si>
  <si>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</si>
  <si>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</si>
  <si>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</si>
  <si>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</si>
  <si>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</si>
  <si>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</si>
  <si>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</si>
  <si>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</si>
  <si>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</si>
  <si>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</si>
  <si>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</si>
  <si>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</si>
  <si>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</si>
  <si>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</si>
  <si>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</si>
  <si>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</si>
  <si>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</si>
  <si>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</si>
  <si>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</si>
  <si>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</si>
  <si>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</si>
  <si>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</si>
  <si>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</si>
  <si>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</si>
  <si>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</si>
  <si>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</si>
  <si>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</si>
  <si>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</si>
  <si>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</si>
  <si>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</si>
  <si>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</si>
  <si>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</si>
  <si>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</si>
  <si>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</si>
  <si>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</si>
  <si>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</si>
  <si>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</si>
  <si>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</si>
  <si>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</si>
  <si>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</si>
  <si>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</si>
  <si>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</si>
  <si>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</si>
  <si>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</si>
  <si>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</si>
  <si>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</si>
  <si>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</si>
  <si>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</si>
  <si>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</si>
  <si>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</si>
  <si>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</si>
  <si>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</si>
  <si>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</si>
  <si>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</si>
  <si>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</si>
  <si>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Dudu</t>
  </si>
  <si>
    <t>Mbappe</t>
  </si>
  <si>
    <t>Harry Kane</t>
  </si>
  <si>
    <t>Oyarzabal</t>
  </si>
  <si>
    <t>Lamine Yamal</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</si>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</sst>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10" sqref="K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7109375" style="299" customWidth="1"/>
    <col min="2" max="2" width="15.7109375" style="299" customWidth="1"/>
    <col min="3" max="3" width="26.7109375" style="299" customWidth="1"/>
    <col min="4" max="4" width="5.7109375" style="299" customWidth="1"/>
    <col min="5" max="9" width="11.28515625" style="319" customWidth="1"/>
    <col min="10" max="10" width="5.7109375" style="319" customWidth="1"/>
    <col min="11" max="11" width="26.7109375" style="319" customWidth="1"/>
    <col min="12" max="12" width="15.7109375" style="299" customWidth="1"/>
    <col min="13" max="13" width="10.42578125" style="299" customWidth="1"/>
    <col min="14" max="15" width="10.7109375" style="299" customWidth="1"/>
    <col min="16" max="16" width="12.140625" style="299" customWidth="1"/>
    <col min="17" max="17" width="6.140625" style="299" customWidth="1"/>
    <col min="18" max="31" width="10.7109375" style="299" customWidth="1"/>
    <col min="32" max="16384" width="10.7109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89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1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89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15" customHeight="1" thickBot="1">
      <c r="A8" s="298"/>
      <c r="B8" s="19"/>
      <c r="C8" s="289" t="s">
        <v>40</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19.89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15" customHeight="1" thickBot="1">
      <c r="A10" s="298"/>
      <c r="B10" s="19"/>
      <c r="C10" s="289" t="s">
        <v>1516</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19.89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1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149999999999999"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15"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15" customHeight="1" thickBot="1">
      <c r="A17" s="298"/>
      <c r="B17" s="298"/>
      <c r="C17" s="298"/>
      <c r="D17" s="298"/>
      <c r="E17" s="630" t="str">
        <f>HYPERLINK(Idiomas!D10,Idiomas!D9)</f>
        <v>▼ Descargar Excel Administrador Porra ▼</v>
      </c>
      <c r="F17" s="631"/>
      <c r="G17" s="631"/>
      <c r="H17" s="631"/>
      <c r="I17" s="632"/>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15" customHeight="1" thickBot="1">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899999999999999" customHeight="1" thickBot="1">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5" zoomScaleNormal="100" workbookViewId="0">
      <selection activeCell="AD147" sqref="AD147"/>
      <extLst>
        <ext xmlns:xlsdti="http://schemas.microsoft.com/office/spreadsheetml/2023/showDataTypeIcons" uri="{77bfe23e-c014-4d31-8a63-9c772dbf06b6}">
          <xlsdti:showDataTypeIcons visible="0"/>
        </ext>
      </extLst>
    </sheetView>
  </sheetViews>
  <sheetFormatPr baseColWidth="10"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customWidth="1"/>
    <col min="29" max="30" width="5.28515625" customWidth="1"/>
    <col min="31" max="31" width="3.28515625" customWidth="1"/>
    <col min="32" max="32" width="20.7109375" customWidth="1"/>
    <col min="33" max="33" width="3.42578125" customWidth="1"/>
    <col min="34" max="34" width="5.140625" style="187" customWidth="1"/>
    <col min="35" max="35" width="3.28515625" style="187"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71093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10.15"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149999999999999"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6.149999999999999" customHeight="1" thickBot="1">
      <c r="A4" s="16" t="s">
        <v>32</v>
      </c>
      <c r="B4" s="16" t="s">
        <v>0</v>
      </c>
      <c r="C4" s="16">
        <f>COUNTIF(Equipos!$C$2:$C$49,WORLDCUP!B4)</f>
        <v>4</v>
      </c>
      <c r="D4" s="16" t="str">
        <f t="shared" ref="D4:D9" si="0">IF(OR(AC4="",AD4=""),"Pendiente",IF(AC4&gt;AD4,"Local",IF(AC4&lt;AD4,"Visitante","Empate")))</f>
        <v>Visitante</v>
      </c>
      <c r="E4" s="16" t="str">
        <f t="shared" ref="E4:E9" ca="1" si="1">IF(D4="Pendiente","-",INDEX($BT$6:$BT$53,MATCH($AA4,$BD$6:$BD$53,0)))</f>
        <v>P.2 (2)</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0</v>
      </c>
      <c r="AD4" s="51">
        <v>2</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6.149999999999999" customHeight="1">
      <c r="A5" s="16" t="str">
        <f ca="1">+Equipos!B2</f>
        <v>México</v>
      </c>
      <c r="B5" s="16"/>
      <c r="C5" s="16"/>
      <c r="D5" s="16" t="str">
        <f t="shared" si="0"/>
        <v>Visitante</v>
      </c>
      <c r="E5" s="16" t="str">
        <f t="shared" ca="1" si="1"/>
        <v>-</v>
      </c>
      <c r="F5" s="16" t="str">
        <f t="shared" ca="1" si="2"/>
        <v>P.2 (2)</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1</v>
      </c>
      <c r="AD5" s="51">
        <v>4</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149999999999999" customHeight="1">
      <c r="A6" s="16" t="str">
        <f ca="1">+Equipos!B3</f>
        <v>Sudáfrica</v>
      </c>
      <c r="B6" s="16"/>
      <c r="C6" s="16"/>
      <c r="D6" s="16" t="str">
        <f t="shared" si="0"/>
        <v>Empate</v>
      </c>
      <c r="E6" s="16" t="str">
        <f t="shared" ca="1" si="1"/>
        <v>P.2 (2)</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Sudáfrica</v>
      </c>
      <c r="AM6" s="35">
        <f t="shared" ref="AM6:AT9" ca="1" si="15">INDEX($BE$6:$BN$53,MATCH($AL6,$BD$6:$BD$53,0),MATCH(AM$5,$BE$5:$BN$5,0))</f>
        <v>5</v>
      </c>
      <c r="AN6" s="36">
        <f t="shared" ca="1" si="15"/>
        <v>3</v>
      </c>
      <c r="AO6" s="36">
        <f t="shared" ca="1" si="15"/>
        <v>1</v>
      </c>
      <c r="AP6" s="36">
        <f t="shared" ca="1" si="15"/>
        <v>2</v>
      </c>
      <c r="AQ6" s="36">
        <f t="shared" ca="1" si="15"/>
        <v>0</v>
      </c>
      <c r="AR6" s="36">
        <f t="shared" ca="1" si="15"/>
        <v>4</v>
      </c>
      <c r="AS6" s="36">
        <f t="shared" ca="1" si="15"/>
        <v>2</v>
      </c>
      <c r="AT6" s="41">
        <f t="shared" ca="1" si="15"/>
        <v>2</v>
      </c>
      <c r="AU6" s="330">
        <f ca="1">INDEX($DL$6:$DL$53,MATCH(AI6,$DP$6:$DP$53,0))</f>
        <v>1</v>
      </c>
      <c r="AV6" s="182" t="str">
        <f ca="1">INDEX($BD$6:$BD$53,MATCH(AI6,$BM$6:$BM$53,0))</f>
        <v>Sudáfrica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3</v>
      </c>
      <c r="BK6" s="16">
        <f t="shared" ref="BK6:BK53" ca="1" si="21">+SUMIFS(FG_GolesLocal,FGVisitante,BD6,Ganador,"&lt;&gt;"&amp;"Pendiente",FG_GolesLocal,"&lt;&gt;"&amp;"",FG_GolesVisitante,"&lt;&gt;"&amp;"")+SUMIFS(FG_GolesVisitante,FGLocal,BD6,Ganador,"&lt;&gt;"&amp;"Pendiente",FG_GolesLocal,"&lt;&gt;"&amp;"",FG_GolesVisitante,"&lt;&gt;"&amp;"")</f>
        <v>3</v>
      </c>
      <c r="BL6" s="16">
        <f ca="1">+BJ6-BK6</f>
        <v>0</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P.2 (2)</v>
      </c>
      <c r="BU6" s="16">
        <f t="shared" ref="BU6:BU53" ca="1" si="24">IF($BT6="-","-",COUNTIFS(FGLocal,$BD6,Ganador,"Local",Part1Empate1V,$BT6)+COUNTIFS(FGVisitante,$BD6,Ganador,"Visitante",Part1Empate1L,$BT6))</f>
        <v>1</v>
      </c>
      <c r="BV6" s="16">
        <f t="shared" ref="BV6:BV53" ca="1" si="25">IF($BT6="-","-",COUNTIFS(FGLocal,$BD6,Ganador,"Empate",Part1Empate1V,$BT6)+COUNTIFS(FGVisitante,$BD6,Ganador,"Empate",Part1Empate1L,$BT6))</f>
        <v>0</v>
      </c>
      <c r="BW6" s="16">
        <f t="shared" ref="BW6:BW53" ca="1" si="26">IF($BT6="-","-",COUNTIFS(FGLocal,$BD6,Ganador,"Visitante",Part1Empate1V,$BT6)+COUNTIFS(FGVisitante,$BD6,Ganador,"Local",Part1Empate1L,$BT6))</f>
        <v>0</v>
      </c>
      <c r="BX6" s="16">
        <f ca="1">IF($BT6="-","-",BU6*3+BV6)</f>
        <v>3</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Sudáfrica</v>
      </c>
    </row>
    <row r="7" spans="1:121" ht="16.149999999999999" customHeight="1">
      <c r="A7" s="16" t="str">
        <f ca="1">+Equipos!B4</f>
        <v>Corea del Sur</v>
      </c>
      <c r="B7" s="16"/>
      <c r="C7" s="16"/>
      <c r="D7" s="16" t="str">
        <f t="shared" si="0"/>
        <v>Empate</v>
      </c>
      <c r="E7" s="16" t="str">
        <f t="shared" ca="1" si="1"/>
        <v>P.2 (2)</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1</v>
      </c>
      <c r="AD7" s="51">
        <v>1</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México</v>
      </c>
      <c r="AM7" s="38">
        <f t="shared" ca="1" si="15"/>
        <v>4</v>
      </c>
      <c r="AN7" s="39">
        <f t="shared" ca="1" si="15"/>
        <v>3</v>
      </c>
      <c r="AO7" s="39">
        <f t="shared" ca="1" si="15"/>
        <v>1</v>
      </c>
      <c r="AP7" s="39">
        <f t="shared" ca="1" si="15"/>
        <v>1</v>
      </c>
      <c r="AQ7" s="39">
        <f t="shared" ca="1" si="15"/>
        <v>1</v>
      </c>
      <c r="AR7" s="39">
        <f t="shared" ca="1" si="15"/>
        <v>3</v>
      </c>
      <c r="AS7" s="39">
        <f t="shared" ca="1" si="15"/>
        <v>3</v>
      </c>
      <c r="AT7" s="43">
        <f t="shared" ca="1" si="15"/>
        <v>0</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5</v>
      </c>
      <c r="BF7" s="16">
        <f t="shared" ref="BF7:BF53" ca="1" si="41">+BG7+BH7+BI7</f>
        <v>3</v>
      </c>
      <c r="BG7" s="16">
        <f t="shared" ca="1" si="17"/>
        <v>1</v>
      </c>
      <c r="BH7" s="16">
        <f t="shared" ca="1" si="18"/>
        <v>2</v>
      </c>
      <c r="BI7" s="16">
        <f t="shared" ca="1" si="19"/>
        <v>0</v>
      </c>
      <c r="BJ7" s="16">
        <f t="shared" ca="1" si="20"/>
        <v>4</v>
      </c>
      <c r="BK7" s="16">
        <f t="shared" ca="1" si="21"/>
        <v>2</v>
      </c>
      <c r="BL7" s="16">
        <f t="shared" ref="BL7:BL53" ca="1" si="42">+BJ7-BK7</f>
        <v>2</v>
      </c>
      <c r="BM7" s="16" t="str">
        <f t="shared" ca="1" si="22"/>
        <v>1A</v>
      </c>
      <c r="BN7" s="16" t="str">
        <f t="shared" ca="1" si="23"/>
        <v>1A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5</v>
      </c>
      <c r="BS7" s="16">
        <f ca="1">BP7+COUNTIFS($BQ$6:$BQ$53,BQ7,$BR$6:BR$53,"&gt;"&amp;BR7,$BC$6:$BC$53,INDEX(T_Equipos[Grupo],MATCH(BD7,T_Equipos[NombreEquipo],0)))</f>
        <v>1</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1</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1</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1</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1</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1</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1</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1</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1</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1</v>
      </c>
      <c r="DE7" s="16"/>
      <c r="DF7" s="16">
        <f t="shared" ref="DF7:DF9" ca="1" si="45">IF(OR(INDEX($AW$6:$AW$97,MATCH($BD7,$AV$6:$AV$97,0))="",DB7="-"),DD7,INDEX($AW$6:$AW$97,MATCH($BD7,$AV$6:$AV$97,0))+DD7/1000)</f>
        <v>1</v>
      </c>
      <c r="DG7" s="16" t="str">
        <f ca="1">IF(DB7="-","-",COUNTIFS(DF$6:DF$53,"&lt;"&amp;DF7,$BC$6:$BC$53,INDEX(T_Equipos[Grupo],MATCH(BD7,T_Equipos[NombreEquipo],0))))</f>
        <v>-</v>
      </c>
      <c r="DH7" s="16">
        <f ca="1">DA7+COUNTIFS(DB$6:DB$53,DB7,DG$6:DG$53,"&lt;"&amp;DG7,$BC$6:$BC$53,INDEX(T_Equipos[Grupo],MATCH(BD7,T_Equipos[NombreEquipo],0)))</f>
        <v>1</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México</v>
      </c>
    </row>
    <row r="8" spans="1:121" ht="16.149999999999999" customHeight="1">
      <c r="A8" s="16" t="str">
        <f ca="1">+Equipos!B5</f>
        <v>República Checa</v>
      </c>
      <c r="B8" s="16"/>
      <c r="C8" s="16"/>
      <c r="D8" s="16" t="str">
        <f t="shared" si="0"/>
        <v>Visitante</v>
      </c>
      <c r="E8" s="16" t="str">
        <f t="shared" ca="1" si="1"/>
        <v>P.2 (2)</v>
      </c>
      <c r="F8" s="16" t="str">
        <f t="shared" ca="1" si="2"/>
        <v>P.2 (2)</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0</v>
      </c>
      <c r="AD8" s="51">
        <v>2</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5</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2</v>
      </c>
      <c r="BF8" s="16">
        <f t="shared" ca="1" si="41"/>
        <v>3</v>
      </c>
      <c r="BG8" s="16">
        <f t="shared" ca="1" si="17"/>
        <v>0</v>
      </c>
      <c r="BH8" s="16">
        <f t="shared" ca="1" si="18"/>
        <v>2</v>
      </c>
      <c r="BI8" s="16">
        <f t="shared" ca="1" si="19"/>
        <v>1</v>
      </c>
      <c r="BJ8" s="16">
        <f t="shared" ca="1" si="20"/>
        <v>3</v>
      </c>
      <c r="BK8" s="16">
        <f t="shared" ca="1" si="21"/>
        <v>6</v>
      </c>
      <c r="BL8" s="16">
        <f t="shared" ca="1" si="42"/>
        <v>-3</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2</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149999999999999"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1</v>
      </c>
      <c r="AD9" s="54">
        <v>1</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Corea del Sur</v>
      </c>
      <c r="AM9" s="46">
        <f t="shared" ca="1" si="15"/>
        <v>2</v>
      </c>
      <c r="AN9" s="47">
        <f t="shared" ca="1" si="15"/>
        <v>3</v>
      </c>
      <c r="AO9" s="47">
        <f t="shared" ca="1" si="15"/>
        <v>0</v>
      </c>
      <c r="AP9" s="47">
        <f t="shared" ca="1" si="15"/>
        <v>2</v>
      </c>
      <c r="AQ9" s="47">
        <f t="shared" ca="1" si="15"/>
        <v>1</v>
      </c>
      <c r="AR9" s="47">
        <f t="shared" ca="1" si="15"/>
        <v>3</v>
      </c>
      <c r="AS9" s="47">
        <f t="shared" ca="1" si="15"/>
        <v>6</v>
      </c>
      <c r="AT9" s="48">
        <f t="shared" ca="1" si="15"/>
        <v>-3</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5</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4"/>
        <v>0</v>
      </c>
      <c r="BV9" s="16">
        <f t="shared" ca="1" si="25"/>
        <v>0</v>
      </c>
      <c r="BW9" s="16">
        <f t="shared" ca="1" si="26"/>
        <v>1</v>
      </c>
      <c r="BX9" s="16">
        <f ca="1">IF($BT9="-","-",BU9*3+BV9)</f>
        <v>0</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Corea del Sur</v>
      </c>
    </row>
    <row r="10" spans="1:121" ht="16.149999999999999"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3</v>
      </c>
      <c r="BK10" s="16">
        <f t="shared" ca="1" si="21"/>
        <v>1</v>
      </c>
      <c r="BL10" s="16">
        <f t="shared" ca="1" si="42"/>
        <v>2</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Canadá</v>
      </c>
    </row>
    <row r="11" spans="1:121" ht="16.149999999999999"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2</v>
      </c>
      <c r="BK11" s="16">
        <f t="shared" ca="1" si="21"/>
        <v>2</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6.149999999999999"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0</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5</v>
      </c>
      <c r="BL12" s="16">
        <f t="shared" ca="1" si="42"/>
        <v>-4</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149999999999999"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0</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6</v>
      </c>
      <c r="BF13" s="16">
        <f t="shared" ca="1" si="41"/>
        <v>3</v>
      </c>
      <c r="BG13" s="16">
        <f t="shared" ca="1" si="17"/>
        <v>2</v>
      </c>
      <c r="BH13" s="16">
        <f t="shared" ca="1" si="18"/>
        <v>0</v>
      </c>
      <c r="BI13" s="16">
        <f t="shared" ca="1" si="19"/>
        <v>1</v>
      </c>
      <c r="BJ13" s="16">
        <f t="shared" ca="1" si="20"/>
        <v>3</v>
      </c>
      <c r="BK13" s="16">
        <f t="shared" ca="1" si="21"/>
        <v>1</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6</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149999999999999"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2</v>
      </c>
      <c r="AD14" s="51">
        <v>0</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3</v>
      </c>
      <c r="AS14" s="36">
        <f t="shared" ca="1" si="69"/>
        <v>1</v>
      </c>
      <c r="AT14" s="72">
        <f t="shared" ca="1" si="69"/>
        <v>2</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8</v>
      </c>
      <c r="BK14" s="16">
        <f t="shared" ca="1" si="21"/>
        <v>2</v>
      </c>
      <c r="BL14" s="16">
        <f t="shared" ca="1" si="42"/>
        <v>6</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149999999999999"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2</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Suiza</v>
      </c>
      <c r="AM15" s="38">
        <f t="shared" ca="1" si="69"/>
        <v>6</v>
      </c>
      <c r="AN15" s="39">
        <f t="shared" ca="1" si="69"/>
        <v>3</v>
      </c>
      <c r="AO15" s="39">
        <f t="shared" ca="1" si="69"/>
        <v>2</v>
      </c>
      <c r="AP15" s="39">
        <f t="shared" ca="1" si="69"/>
        <v>0</v>
      </c>
      <c r="AQ15" s="39">
        <f t="shared" ca="1" si="69"/>
        <v>1</v>
      </c>
      <c r="AR15" s="39">
        <f t="shared" ca="1" si="69"/>
        <v>3</v>
      </c>
      <c r="AS15" s="39">
        <f t="shared" ca="1" si="69"/>
        <v>1</v>
      </c>
      <c r="AT15" s="74">
        <f t="shared" ca="1" si="69"/>
        <v>2</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6</v>
      </c>
      <c r="BK15" s="16">
        <f t="shared" ca="1" si="21"/>
        <v>2</v>
      </c>
      <c r="BL15" s="16">
        <f t="shared" ca="1" si="42"/>
        <v>4</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149999999999999" customHeight="1">
      <c r="A16" s="16" t="str">
        <f ca="1">+Equipos!B9</f>
        <v>Suiza</v>
      </c>
      <c r="B16" s="16"/>
      <c r="C16" s="16"/>
      <c r="D16" s="16" t="str">
        <f t="shared" si="53"/>
        <v>Visitante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0</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2</v>
      </c>
      <c r="AS16" s="39">
        <f t="shared" ca="1" si="69"/>
        <v>2</v>
      </c>
      <c r="AT16" s="74">
        <f t="shared" ca="1" si="69"/>
        <v>0</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3</v>
      </c>
      <c r="BF16" s="16">
        <f t="shared" ca="1" si="41"/>
        <v>3</v>
      </c>
      <c r="BG16" s="16">
        <f t="shared" ca="1" si="17"/>
        <v>1</v>
      </c>
      <c r="BH16" s="16">
        <f t="shared" ca="1" si="18"/>
        <v>0</v>
      </c>
      <c r="BI16" s="16">
        <f t="shared" ca="1" si="19"/>
        <v>2</v>
      </c>
      <c r="BJ16" s="16">
        <f t="shared" ca="1" si="20"/>
        <v>4</v>
      </c>
      <c r="BK16" s="16">
        <f t="shared" ca="1" si="21"/>
        <v>8</v>
      </c>
      <c r="BL16" s="16">
        <f t="shared" ca="1" si="42"/>
        <v>-4</v>
      </c>
      <c r="BM16" s="16" t="str">
        <f t="shared" ca="1" si="22"/>
        <v>3C</v>
      </c>
      <c r="BN16" s="16" t="str">
        <f t="shared" ca="1" si="23"/>
        <v>3C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3</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3</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3</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3</v>
      </c>
      <c r="DE16" s="16"/>
      <c r="DF16" s="16">
        <f t="shared" ca="1" si="52"/>
        <v>3</v>
      </c>
      <c r="DG16" s="16" t="str">
        <f ca="1">IF(DB16="-","-",COUNTIFS(DF$6:DF$53,"&lt;"&amp;DF16,$BC$6:$BC$53,INDEX(T_Equipos[Grupo],MATCH(BD16,T_Equipos[NombreEquipo],0))))</f>
        <v>-</v>
      </c>
      <c r="DH16" s="16">
        <f ca="1">DA16+COUNTIFS(DB$6:DB$53,DB16,DG$6:DG$53,"&lt;"&amp;DG16,$BC$6:$BC$53,INDEX(T_Equipos[Grupo],MATCH(BD16,T_Equipos[NombreEquipo],0)))</f>
        <v>3</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Haití</v>
      </c>
    </row>
    <row r="17" spans="1:121" ht="16.149999999999999"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2</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5</v>
      </c>
      <c r="AT17" s="79">
        <f t="shared" ca="1" si="69"/>
        <v>-4</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41"/>
        <v>3</v>
      </c>
      <c r="BG17" s="16">
        <f t="shared" ca="1" si="17"/>
        <v>0</v>
      </c>
      <c r="BH17" s="16">
        <f t="shared" ca="1" si="18"/>
        <v>0</v>
      </c>
      <c r="BI17" s="16">
        <f t="shared" ca="1" si="19"/>
        <v>3</v>
      </c>
      <c r="BJ17" s="16">
        <f t="shared" ca="1" si="20"/>
        <v>2</v>
      </c>
      <c r="BK17" s="16">
        <f t="shared" ca="1" si="21"/>
        <v>8</v>
      </c>
      <c r="BL17" s="16">
        <f t="shared" ca="1" si="42"/>
        <v>-6</v>
      </c>
      <c r="BM17" s="16" t="str">
        <f t="shared" ca="1" si="22"/>
        <v>4C</v>
      </c>
      <c r="BN17" s="16" t="str">
        <f t="shared" ca="1" si="23"/>
        <v>4C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0</v>
      </c>
      <c r="BS17" s="16">
        <f ca="1">BP17+COUNTIFS($BQ$6:$BQ$53,BQ17,$BR$6:BR$53,"&gt;"&amp;BR17,$BC$6:$BC$53,INDEX(T_Equipos[Grupo],MATCH(BD17,T_Equipos[NombreEquipo],0)))</f>
        <v>4</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4</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4</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4</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4</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4</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4</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4</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4</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4</v>
      </c>
      <c r="DE17" s="16"/>
      <c r="DF17" s="16">
        <f t="shared" ca="1" si="52"/>
        <v>4</v>
      </c>
      <c r="DG17" s="16" t="str">
        <f ca="1">IF(DB17="-","-",COUNTIFS(DF$6:DF$53,"&lt;"&amp;DF17,$BC$6:$BC$53,INDEX(T_Equipos[Grupo],MATCH(BD17,T_Equipos[NombreEquipo],0))))</f>
        <v>-</v>
      </c>
      <c r="DH17" s="16">
        <f ca="1">DA17+COUNTIFS(DB$6:DB$53,DB17,DG$6:DG$53,"&lt;"&amp;DG17,$BC$6:$BC$53,INDEX(T_Equipos[Grupo],MATCH(BD17,T_Equipos[NombreEquipo],0)))</f>
        <v>4</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Escocia</v>
      </c>
    </row>
    <row r="18" spans="1:121" ht="16.149999999999999"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2</v>
      </c>
      <c r="BF18" s="16">
        <f t="shared" ca="1" si="41"/>
        <v>3</v>
      </c>
      <c r="BG18" s="16">
        <f t="shared" ca="1" si="17"/>
        <v>0</v>
      </c>
      <c r="BH18" s="16">
        <f t="shared" ca="1" si="18"/>
        <v>2</v>
      </c>
      <c r="BI18" s="16">
        <f t="shared" ca="1" si="19"/>
        <v>1</v>
      </c>
      <c r="BJ18" s="16">
        <f t="shared" ca="1" si="20"/>
        <v>4</v>
      </c>
      <c r="BK18" s="16">
        <f t="shared" ca="1" si="21"/>
        <v>6</v>
      </c>
      <c r="BL18" s="16">
        <f t="shared" ca="1" si="42"/>
        <v>-2</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2</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149999999999999"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3</v>
      </c>
      <c r="BL19" s="16">
        <f t="shared" ca="1" si="42"/>
        <v>-1</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Paraguay</v>
      </c>
    </row>
    <row r="20" spans="1:121" ht="16.149999999999999"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str" cm="1">
        <f t="array" aca="1" ref="AB20" ca="1">Ver_flag_local</f>
        <v/>
      </c>
      <c r="AC20" s="50">
        <v>1</v>
      </c>
      <c r="AD20" s="51">
        <v>2</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3</v>
      </c>
      <c r="BK20" s="16">
        <f t="shared" ca="1" si="21"/>
        <v>5</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6.149999999999999" customHeight="1">
      <c r="A21" s="16" t="str">
        <f ca="1">+Equipos!B10</f>
        <v>Brasil</v>
      </c>
      <c r="B21" s="16"/>
      <c r="C21" s="16"/>
      <c r="D21" s="16" t="str">
        <f t="shared" si="71"/>
        <v>Local</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3</v>
      </c>
      <c r="AD21" s="51">
        <v>2</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7</v>
      </c>
      <c r="BK21" s="16">
        <f t="shared" ca="1" si="21"/>
        <v>2</v>
      </c>
      <c r="BL21" s="16">
        <f t="shared" ca="1" si="42"/>
        <v>5</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149999999999999"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str" cm="1">
        <f t="array" aca="1" ref="AB22" ca="1">Ver_flag_local</f>
        <v/>
      </c>
      <c r="AC22" s="50">
        <v>0</v>
      </c>
      <c r="AD22" s="51">
        <v>2</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6</v>
      </c>
      <c r="AS22" s="36">
        <f t="shared" ca="1" si="87"/>
        <v>2</v>
      </c>
      <c r="AT22" s="41">
        <f t="shared" ca="1" si="87"/>
        <v>4</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0</v>
      </c>
      <c r="BL22" s="16">
        <f t="shared" ca="1" si="42"/>
        <v>9</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149999999999999"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4</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8</v>
      </c>
      <c r="AS23" s="39">
        <f t="shared" ca="1" si="87"/>
        <v>2</v>
      </c>
      <c r="AT23" s="43">
        <f t="shared" ca="1" si="87"/>
        <v>6</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10</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149999999999999"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Haití</v>
      </c>
      <c r="AM24" s="38">
        <f t="shared" ca="1" si="87"/>
        <v>3</v>
      </c>
      <c r="AN24" s="39">
        <f t="shared" ca="1" si="87"/>
        <v>3</v>
      </c>
      <c r="AO24" s="39">
        <f t="shared" ca="1" si="87"/>
        <v>1</v>
      </c>
      <c r="AP24" s="39">
        <f t="shared" ca="1" si="87"/>
        <v>0</v>
      </c>
      <c r="AQ24" s="39">
        <f t="shared" ca="1" si="87"/>
        <v>2</v>
      </c>
      <c r="AR24" s="39">
        <f t="shared" ca="1" si="87"/>
        <v>4</v>
      </c>
      <c r="AS24" s="39">
        <f t="shared" ca="1" si="87"/>
        <v>8</v>
      </c>
      <c r="AT24" s="43">
        <f t="shared" ca="1" si="87"/>
        <v>-4</v>
      </c>
      <c r="AU24" s="330">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5</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149999999999999"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2</v>
      </c>
      <c r="AD25" s="54">
        <v>1</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Escocia</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3</v>
      </c>
      <c r="BK25" s="16">
        <f t="shared" ca="1" si="21"/>
        <v>2</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149999999999999"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5</v>
      </c>
      <c r="BK26" s="16">
        <f t="shared" ca="1" si="21"/>
        <v>3</v>
      </c>
      <c r="BL26" s="16">
        <f t="shared" ca="1" si="42"/>
        <v>2</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149999999999999"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7</v>
      </c>
      <c r="BF27" s="16">
        <f t="shared" ca="1" si="41"/>
        <v>3</v>
      </c>
      <c r="BG27" s="16">
        <f t="shared" ca="1" si="17"/>
        <v>2</v>
      </c>
      <c r="BH27" s="16">
        <f t="shared" ca="1" si="18"/>
        <v>1</v>
      </c>
      <c r="BI27" s="16">
        <f t="shared" ca="1" si="19"/>
        <v>0</v>
      </c>
      <c r="BJ27" s="16">
        <f t="shared" ca="1" si="20"/>
        <v>5</v>
      </c>
      <c r="BK27" s="16">
        <f t="shared" ca="1" si="21"/>
        <v>3</v>
      </c>
      <c r="BL27" s="16">
        <f t="shared" ca="1" si="42"/>
        <v>2</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149999999999999"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1</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41"/>
        <v>3</v>
      </c>
      <c r="BG28" s="16">
        <f t="shared" ca="1" si="17"/>
        <v>0</v>
      </c>
      <c r="BH28" s="16">
        <f t="shared" ca="1" si="18"/>
        <v>1</v>
      </c>
      <c r="BI28" s="16">
        <f t="shared" ca="1" si="19"/>
        <v>2</v>
      </c>
      <c r="BJ28" s="16">
        <f t="shared" ca="1" si="20"/>
        <v>3</v>
      </c>
      <c r="BK28" s="16">
        <f t="shared" ca="1" si="21"/>
        <v>7</v>
      </c>
      <c r="BL28" s="16">
        <f t="shared" ca="1" si="42"/>
        <v>-4</v>
      </c>
      <c r="BM28" s="16" t="str">
        <f t="shared" ca="1" si="22"/>
        <v>4F</v>
      </c>
      <c r="BN28" s="16" t="str">
        <f t="shared" ca="1" si="23"/>
        <v>4F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1</v>
      </c>
      <c r="BS28" s="16">
        <f ca="1">BP28+COUNTIFS($BQ$6:$BQ$53,BQ28,$BR$6:BR$53,"&gt;"&amp;BR28,$BC$6:$BC$53,INDEX(T_Equipos[Grupo],MATCH(BD28,T_Equipos[NombreEquipo],0)))</f>
        <v>4</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4</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4</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4</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4</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4</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4</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4</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4</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4</v>
      </c>
      <c r="DE28" s="16"/>
      <c r="DF28" s="16">
        <f t="shared" ca="1" si="52"/>
        <v>4</v>
      </c>
      <c r="DG28" s="16" t="str">
        <f ca="1">IF(DB28="-","-",COUNTIFS(DF$6:DF$53,"&lt;"&amp;DF28,$BC$6:$BC$53,INDEX(T_Equipos[Grupo],MATCH(BD28,T_Equipos[NombreEquipo],0))))</f>
        <v>-</v>
      </c>
      <c r="DH28" s="16">
        <f ca="1">DA28+COUNTIFS(DB$6:DB$53,DB28,DG$6:DG$53,"&lt;"&amp;DG28,$BC$6:$BC$53,INDEX(T_Equipos[Grupo],MATCH(BD28,T_Equipos[NombreEquipo],0)))</f>
        <v>4</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Túnez</v>
      </c>
    </row>
    <row r="29" spans="1:121" ht="16.149999999999999"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1</v>
      </c>
      <c r="AD29" s="51">
        <v>2</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3</v>
      </c>
      <c r="BF29" s="16">
        <f t="shared" ca="1" si="41"/>
        <v>3</v>
      </c>
      <c r="BG29" s="16">
        <f t="shared" ca="1" si="17"/>
        <v>1</v>
      </c>
      <c r="BH29" s="16">
        <f t="shared" ca="1" si="18"/>
        <v>0</v>
      </c>
      <c r="BI29" s="16">
        <f t="shared" ca="1" si="19"/>
        <v>2</v>
      </c>
      <c r="BJ29" s="16">
        <f t="shared" ca="1" si="20"/>
        <v>4</v>
      </c>
      <c r="BK29" s="16">
        <f t="shared" ca="1" si="21"/>
        <v>4</v>
      </c>
      <c r="BL29" s="16">
        <f t="shared" ca="1" si="42"/>
        <v>0</v>
      </c>
      <c r="BM29" s="16" t="str">
        <f t="shared" ca="1" si="22"/>
        <v>3F</v>
      </c>
      <c r="BN29" s="16" t="str">
        <f t="shared" ca="1" si="23"/>
        <v>3F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3</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3</v>
      </c>
      <c r="DE29" s="16"/>
      <c r="DF29" s="16">
        <f t="shared" ca="1" si="52"/>
        <v>3</v>
      </c>
      <c r="DG29" s="16" t="str">
        <f ca="1">IF(DB29="-","-",COUNTIFS(DF$6:DF$53,"&lt;"&amp;DF29,$BC$6:$BC$53,INDEX(T_Equipos[Grupo],MATCH(BD29,T_Equipos[NombreEquipo],0))))</f>
        <v>-</v>
      </c>
      <c r="DH29" s="16">
        <f ca="1">DA29+COUNTIFS(DB$6:DB$53,DB29,DG$6:DG$53,"&lt;"&amp;DG29,$BC$6:$BC$53,INDEX(T_Equipos[Grupo],MATCH(BD29,T_Equipos[NombreEquipo],0)))</f>
        <v>3</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Suecia</v>
      </c>
    </row>
    <row r="30" spans="1:121" ht="16.149999999999999"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2</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7</v>
      </c>
      <c r="AS30" s="36">
        <f t="shared" ca="1" si="107"/>
        <v>2</v>
      </c>
      <c r="AT30" s="41">
        <f t="shared" ca="1" si="107"/>
        <v>5</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0</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149999999999999"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2</v>
      </c>
      <c r="AD31" s="51">
        <v>0</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Paraguay</v>
      </c>
      <c r="AM31" s="38">
        <f t="shared" ca="1" si="107"/>
        <v>4</v>
      </c>
      <c r="AN31" s="39">
        <f t="shared" ca="1" si="107"/>
        <v>3</v>
      </c>
      <c r="AO31" s="39">
        <f t="shared" ca="1" si="107"/>
        <v>1</v>
      </c>
      <c r="AP31" s="39">
        <f t="shared" ca="1" si="107"/>
        <v>1</v>
      </c>
      <c r="AQ31" s="39">
        <f t="shared" ca="1" si="107"/>
        <v>1</v>
      </c>
      <c r="AR31" s="39">
        <f t="shared" ca="1" si="107"/>
        <v>2</v>
      </c>
      <c r="AS31" s="39">
        <f t="shared" ca="1" si="107"/>
        <v>3</v>
      </c>
      <c r="AT31" s="43">
        <f t="shared" ca="1" si="107"/>
        <v>-1</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4</v>
      </c>
      <c r="BL31" s="16">
        <f t="shared" ca="1" si="42"/>
        <v>-1</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-1</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Irán</v>
      </c>
    </row>
    <row r="32" spans="1:121" ht="16.149999999999999"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3</v>
      </c>
      <c r="AD32" s="51">
        <v>1</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Estados Unidos</v>
      </c>
      <c r="AM32" s="38">
        <f t="shared" ca="1" si="107"/>
        <v>2</v>
      </c>
      <c r="AN32" s="39">
        <f t="shared" ca="1" si="107"/>
        <v>3</v>
      </c>
      <c r="AO32" s="39">
        <f t="shared" ca="1" si="107"/>
        <v>0</v>
      </c>
      <c r="AP32" s="39">
        <f t="shared" ca="1" si="107"/>
        <v>2</v>
      </c>
      <c r="AQ32" s="39">
        <f t="shared" ca="1" si="107"/>
        <v>1</v>
      </c>
      <c r="AR32" s="39">
        <f t="shared" ca="1" si="107"/>
        <v>4</v>
      </c>
      <c r="AS32" s="39">
        <f t="shared" ca="1" si="107"/>
        <v>6</v>
      </c>
      <c r="AT32" s="43">
        <f t="shared" ca="1" si="107"/>
        <v>-2</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5</v>
      </c>
      <c r="BK32" s="16">
        <f t="shared" ca="1" si="21"/>
        <v>3</v>
      </c>
      <c r="BL32" s="16">
        <f t="shared" ca="1" si="42"/>
        <v>2</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2</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149999999999999"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9</v>
      </c>
      <c r="BL33" s="16">
        <f t="shared" ca="1" si="42"/>
        <v>-8</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149999999999999"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1</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149999999999999"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149999999999999"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6</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4</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149999999999999"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1</v>
      </c>
      <c r="AD37" s="51">
        <v>2</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149999999999999"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0</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0</v>
      </c>
      <c r="AT38" s="41">
        <f t="shared" ca="1" si="127"/>
        <v>9</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7</v>
      </c>
      <c r="BK38" s="16">
        <f t="shared" ca="1" si="21"/>
        <v>3</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149999999999999"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1</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3</v>
      </c>
      <c r="AS39" s="39">
        <f t="shared" ca="1" si="127"/>
        <v>2</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0</v>
      </c>
      <c r="BH39" s="16">
        <f t="shared" ca="1" si="18"/>
        <v>3</v>
      </c>
      <c r="BI39" s="16">
        <f t="shared" ca="1" si="19"/>
        <v>0</v>
      </c>
      <c r="BJ39" s="16">
        <f t="shared" ca="1" si="20"/>
        <v>8</v>
      </c>
      <c r="BK39" s="16">
        <f t="shared" ca="1" si="21"/>
        <v>8</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149999999999999"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1</v>
      </c>
      <c r="AD40" s="51">
        <v>3</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5</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4</v>
      </c>
      <c r="BK40" s="16">
        <f t="shared" ca="1" si="21"/>
        <v>10</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149999999999999"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0</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10</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6</v>
      </c>
      <c r="BK41" s="16">
        <f t="shared" ca="1" si="21"/>
        <v>4</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149999999999999"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6</v>
      </c>
      <c r="BF42" s="16">
        <f t="shared" ca="1" si="41"/>
        <v>3</v>
      </c>
      <c r="BG42" s="16">
        <f t="shared" ca="1" si="17"/>
        <v>2</v>
      </c>
      <c r="BH42" s="16">
        <f t="shared" ca="1" si="18"/>
        <v>0</v>
      </c>
      <c r="BI42" s="16">
        <f t="shared" ca="1" si="19"/>
        <v>1</v>
      </c>
      <c r="BJ42" s="16">
        <f t="shared" ca="1" si="20"/>
        <v>4</v>
      </c>
      <c r="BK42" s="16">
        <f t="shared" ca="1" si="21"/>
        <v>5</v>
      </c>
      <c r="BL42" s="16">
        <f t="shared" ca="1" si="42"/>
        <v>-1</v>
      </c>
      <c r="BM42" s="16" t="str">
        <f t="shared" ca="1" si="22"/>
        <v>2J</v>
      </c>
      <c r="BN42" s="16" t="str">
        <f t="shared" ca="1" si="23"/>
        <v>2J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6</v>
      </c>
      <c r="BS42" s="16">
        <f ca="1">BP42+COUNTIFS($BQ$6:$BQ$53,BQ42,$BR$6:BR$53,"&gt;"&amp;BR42,$BC$6:$BC$53,INDEX(T_Equipos[Grupo],MATCH(BD42,T_Equipos[NombreEquipo],0)))</f>
        <v>2</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2</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2</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2</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2</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2</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2</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2</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2</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2</v>
      </c>
      <c r="DE42" s="16"/>
      <c r="DF42" s="16">
        <f t="shared" ca="1" si="52"/>
        <v>2</v>
      </c>
      <c r="DG42" s="16" t="str">
        <f ca="1">IF(DB42="-","-",COUNTIFS(DF$6:DF$53,"&lt;"&amp;DF42,$BC$6:$BC$53,INDEX(T_Equipos[Grupo],MATCH(BD42,T_Equipos[NombreEquipo],0))))</f>
        <v>-</v>
      </c>
      <c r="DH42" s="16">
        <f ca="1">DA42+COUNTIFS(DB$6:DB$53,DB42,DG$6:DG$53,"&lt;"&amp;DG42,$BC$6:$BC$53,INDEX(T_Equipos[Grupo],MATCH(BD42,T_Equipos[NombreEquipo],0)))</f>
        <v>2</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Austria</v>
      </c>
    </row>
    <row r="43" spans="1:121" ht="16.149999999999999"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4</v>
      </c>
      <c r="BK43" s="16">
        <f t="shared" ca="1" si="21"/>
        <v>5</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Argentina</v>
      </c>
    </row>
    <row r="44" spans="1:121" ht="16.149999999999999"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9</v>
      </c>
      <c r="BF44" s="16">
        <f t="shared" ca="1" si="41"/>
        <v>3</v>
      </c>
      <c r="BG44" s="16">
        <f t="shared" ca="1" si="17"/>
        <v>3</v>
      </c>
      <c r="BH44" s="16">
        <f t="shared" ca="1" si="18"/>
        <v>0</v>
      </c>
      <c r="BI44" s="16">
        <f t="shared" ca="1" si="19"/>
        <v>0</v>
      </c>
      <c r="BJ44" s="16">
        <f t="shared" ca="1" si="20"/>
        <v>6</v>
      </c>
      <c r="BK44" s="16">
        <f t="shared" ca="1" si="21"/>
        <v>1</v>
      </c>
      <c r="BL44" s="16">
        <f t="shared" ca="1" si="42"/>
        <v>5</v>
      </c>
      <c r="BM44" s="16" t="str">
        <f t="shared" ca="1" si="22"/>
        <v>1J</v>
      </c>
      <c r="BN44" s="16" t="str">
        <f t="shared" ca="1" si="23"/>
        <v>1J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9</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1</v>
      </c>
      <c r="DE44" s="16"/>
      <c r="DF44" s="16">
        <f t="shared" ca="1" si="52"/>
        <v>1</v>
      </c>
      <c r="DG44" s="16" t="str">
        <f ca="1">IF(DB44="-","-",COUNTIFS(DF$6:DF$53,"&lt;"&amp;DF44,$BC$6:$BC$53,INDEX(T_Equipos[Grupo],MATCH(BD44,T_Equipos[NombreEquipo],0))))</f>
        <v>-</v>
      </c>
      <c r="DH44" s="16">
        <f ca="1">DA44+COUNTIFS(DB$6:DB$53,DB44,DG$6:DG$53,"&lt;"&amp;DG44,$BC$6:$BC$53,INDEX(T_Equipos[Grupo],MATCH(BD44,T_Equipos[NombreEquipo],0)))</f>
        <v>1</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149999999999999" customHeight="1">
      <c r="A45" s="16" t="str">
        <f ca="1">+Equipos!B22</f>
        <v>Países Bajos</v>
      </c>
      <c r="B45" s="16"/>
      <c r="C45" s="16"/>
      <c r="D45" s="16" t="str">
        <f t="shared" si="131"/>
        <v>Visitante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1</v>
      </c>
      <c r="AD45" s="51">
        <v>3</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2</v>
      </c>
      <c r="BK45" s="16">
        <f t="shared" ca="1" si="21"/>
        <v>5</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149999999999999"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3</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Japón</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3</v>
      </c>
      <c r="AT46" s="41">
        <f t="shared" ca="1" si="147"/>
        <v>2</v>
      </c>
      <c r="AU46" s="330">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2</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149999999999999"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1</v>
      </c>
      <c r="AD47" s="51">
        <v>2</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5</v>
      </c>
      <c r="AS47" s="39">
        <f t="shared" ca="1" si="147"/>
        <v>3</v>
      </c>
      <c r="AT47" s="43">
        <f t="shared" ca="1" si="147"/>
        <v>2</v>
      </c>
      <c r="AU47" s="330">
        <f ca="1">INDEX($DL$6:$DL$53,MATCH(AI47,$DP$6:$DP$53,0))</f>
        <v>1</v>
      </c>
      <c r="AV47" s="182" t="str">
        <f ca="1">INDEX($BD$6:$BD$53,MATCH(AI47,$BM$6:$BM$53,0))</f>
        <v>Países Bajos</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1</v>
      </c>
      <c r="BK47" s="16">
        <f t="shared" ca="1" si="21"/>
        <v>6</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149999999999999"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Túnez</v>
      </c>
      <c r="AM48" s="38">
        <f t="shared" ca="1" si="147"/>
        <v>3</v>
      </c>
      <c r="AN48" s="39">
        <f t="shared" ca="1" si="147"/>
        <v>3</v>
      </c>
      <c r="AO48" s="39">
        <f t="shared" ca="1" si="147"/>
        <v>1</v>
      </c>
      <c r="AP48" s="39">
        <f t="shared" ca="1" si="147"/>
        <v>0</v>
      </c>
      <c r="AQ48" s="39">
        <f t="shared" ca="1" si="147"/>
        <v>2</v>
      </c>
      <c r="AR48" s="39">
        <f t="shared" ca="1" si="147"/>
        <v>4</v>
      </c>
      <c r="AS48" s="39">
        <f t="shared" ca="1" si="147"/>
        <v>4</v>
      </c>
      <c r="AT48" s="43">
        <f t="shared" ca="1" si="147"/>
        <v>0</v>
      </c>
      <c r="AU48" s="330">
        <f ca="1">INDEX($DL$6:$DL$53,MATCH(AI48,$DP$6:$DP$53,0))</f>
        <v>1</v>
      </c>
      <c r="AV48" s="182" t="str">
        <f ca="1">INDEX($BD$6:$BD$53,MATCH(AI48,$BM$6:$BM$53,0))</f>
        <v>Túnez</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3</v>
      </c>
      <c r="BK48" s="16">
        <f t="shared" ca="1" si="21"/>
        <v>6</v>
      </c>
      <c r="BL48" s="16">
        <f t="shared" ca="1" si="42"/>
        <v>-3</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149999999999999"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0</v>
      </c>
      <c r="AD49" s="54">
        <v>1</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Suecia</v>
      </c>
      <c r="AM49" s="46">
        <f t="shared" ca="1" si="147"/>
        <v>1</v>
      </c>
      <c r="AN49" s="47">
        <f t="shared" ca="1" si="147"/>
        <v>3</v>
      </c>
      <c r="AO49" s="47">
        <f t="shared" ca="1" si="147"/>
        <v>0</v>
      </c>
      <c r="AP49" s="47">
        <f t="shared" ca="1" si="147"/>
        <v>1</v>
      </c>
      <c r="AQ49" s="47">
        <f t="shared" ca="1" si="147"/>
        <v>2</v>
      </c>
      <c r="AR49" s="47">
        <f t="shared" ca="1" si="147"/>
        <v>3</v>
      </c>
      <c r="AS49" s="47">
        <f t="shared" ca="1" si="147"/>
        <v>7</v>
      </c>
      <c r="AT49" s="48">
        <f t="shared" ca="1" si="147"/>
        <v>-4</v>
      </c>
      <c r="AU49" s="330">
        <f ca="1">INDEX($DL$6:$DL$53,MATCH(AI49,$DP$6:$DP$53,0))</f>
        <v>1</v>
      </c>
      <c r="AV49" s="182" t="str">
        <f ca="1">INDEX($BD$6:$BD$53,MATCH(AI49,$BM$6:$BM$53,0))</f>
        <v>Suecia</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6.149999999999999"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6</v>
      </c>
      <c r="BF50" s="16">
        <f t="shared" ca="1" si="41"/>
        <v>3</v>
      </c>
      <c r="BG50" s="16">
        <f t="shared" ca="1" si="17"/>
        <v>2</v>
      </c>
      <c r="BH50" s="16">
        <f t="shared" ca="1" si="18"/>
        <v>0</v>
      </c>
      <c r="BI50" s="16">
        <f t="shared" ca="1" si="19"/>
        <v>1</v>
      </c>
      <c r="BJ50" s="16">
        <f t="shared" ca="1" si="20"/>
        <v>5</v>
      </c>
      <c r="BK50" s="16">
        <f t="shared" ca="1" si="21"/>
        <v>4</v>
      </c>
      <c r="BL50" s="16">
        <f t="shared" ca="1" si="42"/>
        <v>1</v>
      </c>
      <c r="BM50" s="16" t="str">
        <f t="shared" ca="1" si="22"/>
        <v>2L</v>
      </c>
      <c r="BN50" s="16" t="str">
        <f t="shared" ca="1" si="23"/>
        <v>2L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6</v>
      </c>
      <c r="BS50" s="16">
        <f ca="1">BP50+COUNTIFS($BQ$6:$BQ$53,BQ50,$BR$6:BR$53,"&gt;"&amp;BR50,$BC$6:$BC$53,INDEX(T_Equipos[Grupo],MATCH(BD50,T_Equipos[NombreEquipo],0)))</f>
        <v>2</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2</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2</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2</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2</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2</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2</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52"/>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Croacia</v>
      </c>
    </row>
    <row r="51" spans="1:121" ht="16.149999999999999"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9</v>
      </c>
      <c r="BF51" s="16">
        <f t="shared" ca="1" si="41"/>
        <v>3</v>
      </c>
      <c r="BG51" s="16">
        <f t="shared" ca="1" si="17"/>
        <v>3</v>
      </c>
      <c r="BH51" s="16">
        <f t="shared" ca="1" si="18"/>
        <v>0</v>
      </c>
      <c r="BI51" s="16">
        <f t="shared" ca="1" si="19"/>
        <v>0</v>
      </c>
      <c r="BJ51" s="16">
        <f t="shared" ca="1" si="20"/>
        <v>9</v>
      </c>
      <c r="BK51" s="16">
        <f t="shared" ca="1" si="21"/>
        <v>2</v>
      </c>
      <c r="BL51" s="16">
        <f t="shared" ca="1" si="42"/>
        <v>7</v>
      </c>
      <c r="BM51" s="16" t="str">
        <f t="shared" ca="1" si="22"/>
        <v>1L</v>
      </c>
      <c r="BN51" s="16" t="str">
        <f t="shared" ca="1" si="23"/>
        <v>1L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9</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52"/>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Inglaterra</v>
      </c>
    </row>
    <row r="52" spans="1:121" ht="16.149999999999999"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66" t="s">
        <v>6</v>
      </c>
      <c r="X52" s="24">
        <f ca="1">Horarios!C52</f>
        <v>46188.875</v>
      </c>
      <c r="Y52" s="25">
        <f ca="1">Horarios!C52</f>
        <v>46188.875</v>
      </c>
      <c r="Z52" s="26" t="str">
        <f>$Z$4</f>
        <v>J1</v>
      </c>
      <c r="AA52" s="27" t="str">
        <f ca="1">A53</f>
        <v>Bélgica</v>
      </c>
      <c r="AB52" s="49" t="str" cm="1">
        <f t="array" aca="1" ref="AB52" ca="1">Ver_flag_local</f>
        <v/>
      </c>
      <c r="AC52" s="50">
        <v>2</v>
      </c>
      <c r="AD52" s="51">
        <v>0</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3</v>
      </c>
      <c r="BG52" s="16">
        <f t="shared" ca="1" si="17"/>
        <v>0</v>
      </c>
      <c r="BH52" s="16">
        <f t="shared" ca="1" si="18"/>
        <v>0</v>
      </c>
      <c r="BI52" s="16">
        <f t="shared" ca="1" si="19"/>
        <v>3</v>
      </c>
      <c r="BJ52" s="16">
        <f t="shared" ca="1" si="20"/>
        <v>2</v>
      </c>
      <c r="BK52" s="16">
        <f t="shared" ca="1" si="21"/>
        <v>8</v>
      </c>
      <c r="BL52" s="16">
        <f t="shared" ca="1" si="42"/>
        <v>-6</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149999999999999"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4</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4</v>
      </c>
      <c r="BK53" s="16">
        <f t="shared" ca="1" si="21"/>
        <v>6</v>
      </c>
      <c r="BL53" s="16">
        <f t="shared" ca="1" si="42"/>
        <v>-2</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Ghana</v>
      </c>
    </row>
    <row r="54" spans="1:121" ht="16.149999999999999"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66"/>
      <c r="X54" s="24">
        <f ca="1">Horarios!C54</f>
        <v>46194.875</v>
      </c>
      <c r="Y54" s="25">
        <f ca="1">Horarios!C54</f>
        <v>46194.875</v>
      </c>
      <c r="Z54" s="26" t="str">
        <f>$Z$6</f>
        <v>J2</v>
      </c>
      <c r="AA54" s="27" t="str">
        <f ca="1">A53</f>
        <v>Bélgica</v>
      </c>
      <c r="AB54" s="49" t="str" cm="1">
        <f t="array" aca="1" ref="AB54" ca="1">Ver_flag_local</f>
        <v/>
      </c>
      <c r="AC54" s="50">
        <v>2</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0</v>
      </c>
      <c r="AT54" s="41">
        <f t="shared" ca="1" si="165"/>
        <v>7</v>
      </c>
      <c r="AU54" s="330">
        <f ca="1">INDEX($DL$6:$DL$53,MATCH(AI54,$DP$6:$DP$53,0))</f>
        <v>1</v>
      </c>
      <c r="AV54" s="182" t="str">
        <f ca="1">INDEX($BD$6:$BD$53,MATCH(AI54,$BM$6:$BM$53,0))</f>
        <v>Bélgica</v>
      </c>
      <c r="AW54" s="210"/>
      <c r="AX54" s="171"/>
      <c r="AY54" s="201" t="str">
        <f ca="1">+A53</f>
        <v>Bélgica</v>
      </c>
      <c r="AZ54" s="202"/>
      <c r="BA54" s="176"/>
    </row>
    <row r="55" spans="1:121" ht="16.149999999999999"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66"/>
      <c r="X55" s="24">
        <f ca="1">Horarios!C55</f>
        <v>46195.125</v>
      </c>
      <c r="Y55" s="25">
        <f ca="1">Horarios!C55</f>
        <v>46195.125</v>
      </c>
      <c r="Z55" s="26" t="str">
        <f>$Z$6</f>
        <v>J2</v>
      </c>
      <c r="AA55" s="27" t="str">
        <f ca="1">A56</f>
        <v>Nueva Zelanda</v>
      </c>
      <c r="AB55" s="49" t="str" cm="1">
        <f t="array" aca="1" ref="AB55" ca="1">Ver_flag_local</f>
        <v/>
      </c>
      <c r="AC55" s="50">
        <v>1</v>
      </c>
      <c r="AD55" s="51">
        <v>2</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Irán</v>
      </c>
      <c r="AM55" s="38">
        <f t="shared" ca="1" si="165"/>
        <v>4</v>
      </c>
      <c r="AN55" s="39">
        <f t="shared" ca="1" si="165"/>
        <v>3</v>
      </c>
      <c r="AO55" s="39">
        <f t="shared" ca="1" si="165"/>
        <v>1</v>
      </c>
      <c r="AP55" s="39">
        <f t="shared" ca="1" si="165"/>
        <v>1</v>
      </c>
      <c r="AQ55" s="39">
        <f t="shared" ca="1" si="165"/>
        <v>1</v>
      </c>
      <c r="AR55" s="39">
        <f t="shared" ca="1" si="165"/>
        <v>5</v>
      </c>
      <c r="AS55" s="39">
        <f t="shared" ca="1" si="165"/>
        <v>3</v>
      </c>
      <c r="AT55" s="43">
        <f t="shared" ca="1" si="165"/>
        <v>2</v>
      </c>
      <c r="AU55" s="330">
        <f ca="1">INDEX($DL$6:$DL$53,MATCH(AI55,$DP$6:$DP$53,0))</f>
        <v>1</v>
      </c>
      <c r="AV55" s="182" t="str">
        <f ca="1">INDEX($BD$6:$BD$53,MATCH(AI55,$BM$6:$BM$53,0))</f>
        <v>Irán</v>
      </c>
      <c r="AW55" s="210"/>
      <c r="AX55" s="171"/>
      <c r="AY55" s="203" t="str">
        <f ca="1">+A54</f>
        <v>Egipto</v>
      </c>
      <c r="AZ55" s="204"/>
      <c r="BA55" s="176"/>
    </row>
    <row r="56" spans="1:121" ht="16.149999999999999"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66"/>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3</v>
      </c>
      <c r="AS56" s="39">
        <f t="shared" ca="1" si="165"/>
        <v>4</v>
      </c>
      <c r="AT56" s="43">
        <f t="shared" ca="1" si="165"/>
        <v>-1</v>
      </c>
      <c r="AU56" s="330">
        <f ca="1">INDEX($DL$6:$DL$53,MATCH(AI56,$DP$6:$DP$53,0))</f>
        <v>1</v>
      </c>
      <c r="AV56" s="182" t="str">
        <f ca="1">INDEX($BD$6:$BD$53,MATCH(AI56,$BM$6:$BM$53,0))</f>
        <v>Egipto</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149999999999999"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3</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9</v>
      </c>
      <c r="AT57" s="48">
        <f t="shared" ca="1" si="165"/>
        <v>-8</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149999999999999"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1</v>
      </c>
      <c r="BN58" s="16">
        <f ca="1">CF58</f>
        <v>1</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(3)</v>
      </c>
      <c r="BU58" s="16">
        <f t="shared" ref="BU58:BU69" ca="1" si="176">IF(BT58="-","-",BL58)</f>
        <v>1</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República Checa</v>
      </c>
    </row>
    <row r="59" spans="1:121" ht="16.149999999999999"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2</v>
      </c>
      <c r="BL59" s="16">
        <f t="shared" ref="BL59:BL69" ca="1" si="190">+BJ59-BK59</f>
        <v>0</v>
      </c>
      <c r="BM59" s="16">
        <f t="shared" ref="BM59:BM69" ca="1" si="191">CB59</f>
        <v>2</v>
      </c>
      <c r="BN59" s="16">
        <f t="shared" ref="BN59:BN69" ca="1" si="192">CF59</f>
        <v>2</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(3)</v>
      </c>
      <c r="BU59" s="16">
        <f t="shared" ca="1" si="176"/>
        <v>0</v>
      </c>
      <c r="BV59" s="16">
        <f t="shared" ca="1" si="177"/>
        <v>2</v>
      </c>
      <c r="BW59" s="16" t="str">
        <f t="shared" ca="1" si="178"/>
        <v>-</v>
      </c>
      <c r="BX59" s="16" t="str">
        <f t="shared" ca="1" si="179"/>
        <v>-</v>
      </c>
      <c r="BY59" s="16">
        <f t="shared" ca="1" si="180"/>
        <v>2</v>
      </c>
      <c r="BZ59" s="16" t="str">
        <f t="shared" ca="1" si="181"/>
        <v>-</v>
      </c>
      <c r="CA59" s="16" t="str">
        <f t="shared" ca="1" si="182"/>
        <v>-</v>
      </c>
      <c r="CB59" s="16">
        <f t="shared" ref="CB59:CB68" ca="1" si="195">BY59+COUNTIFS(BZ$58:BZ$69,BZ59,CA$58:CA$69,"&gt;"&amp;CA59)</f>
        <v>2</v>
      </c>
      <c r="CC59" s="16"/>
      <c r="CD59" s="16">
        <f t="shared" ca="1" si="183"/>
        <v>2</v>
      </c>
      <c r="CE59" s="16" t="str">
        <f t="shared" ref="CE59:CE69" ca="1" si="196">IF(BZ59="-","-",COUNTIF(CD$58:CD$69,"&lt;"&amp;CD59))</f>
        <v>-</v>
      </c>
      <c r="CF59" s="16">
        <f t="shared" ref="CF59:CF69" ca="1" si="197">BY59+COUNTIFS(BZ$58:BZ$69,BZ59,CE$58:CE$69,"&lt;"&amp;CE59)</f>
        <v>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Bosnia y Herzegovina</v>
      </c>
    </row>
    <row r="60" spans="1:121" ht="16.149999999999999"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4</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Haití</v>
      </c>
      <c r="BE60" s="16">
        <f t="shared" ca="1" si="188"/>
        <v>3</v>
      </c>
      <c r="BF60" s="16">
        <f t="shared" ca="1" si="189"/>
        <v>3</v>
      </c>
      <c r="BG60" s="16">
        <f t="shared" ca="1" si="169"/>
        <v>1</v>
      </c>
      <c r="BH60" s="16">
        <f t="shared" ca="1" si="170"/>
        <v>0</v>
      </c>
      <c r="BI60" s="16">
        <f t="shared" ca="1" si="171"/>
        <v>2</v>
      </c>
      <c r="BJ60" s="16">
        <f t="shared" ca="1" si="172"/>
        <v>4</v>
      </c>
      <c r="BK60" s="16">
        <f t="shared" ca="1" si="173"/>
        <v>8</v>
      </c>
      <c r="BL60" s="16">
        <f t="shared" ca="1" si="190"/>
        <v>-4</v>
      </c>
      <c r="BM60" s="16">
        <f t="shared" ca="1" si="191"/>
        <v>11</v>
      </c>
      <c r="BN60" s="16">
        <f t="shared" ca="1" si="192"/>
        <v>11</v>
      </c>
      <c r="BO60" s="16" t="str">
        <f t="shared" si="174"/>
        <v>4C</v>
      </c>
      <c r="BP60" s="16"/>
      <c r="BQ60" s="16"/>
      <c r="BR60" s="16">
        <f t="shared" ca="1" si="175"/>
        <v>3</v>
      </c>
      <c r="BS60" s="16">
        <f t="shared" ca="1" si="193"/>
        <v>4</v>
      </c>
      <c r="BT60" s="16" t="str">
        <f t="shared" ca="1" si="194"/>
        <v>Pos. 4 (8)</v>
      </c>
      <c r="BU60" s="16">
        <f t="shared" ca="1" si="176"/>
        <v>-4</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Egipto</v>
      </c>
    </row>
    <row r="61" spans="1:121" ht="16.149999999999999"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0</v>
      </c>
      <c r="AD61" s="51">
        <v>3</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Estados Unidos</v>
      </c>
      <c r="BE61" s="16">
        <f t="shared" ca="1" si="188"/>
        <v>2</v>
      </c>
      <c r="BF61" s="16">
        <f t="shared" ca="1" si="189"/>
        <v>3</v>
      </c>
      <c r="BG61" s="16">
        <f t="shared" ca="1" si="169"/>
        <v>0</v>
      </c>
      <c r="BH61" s="16">
        <f t="shared" ca="1" si="170"/>
        <v>2</v>
      </c>
      <c r="BI61" s="16">
        <f t="shared" ca="1" si="171"/>
        <v>1</v>
      </c>
      <c r="BJ61" s="16">
        <f t="shared" ca="1" si="172"/>
        <v>4</v>
      </c>
      <c r="BK61" s="16">
        <f t="shared" ca="1" si="173"/>
        <v>6</v>
      </c>
      <c r="BL61" s="16">
        <f t="shared" ca="1" si="190"/>
        <v>-2</v>
      </c>
      <c r="BM61" s="16">
        <f t="shared" ca="1" si="191"/>
        <v>12</v>
      </c>
      <c r="BN61" s="16">
        <f t="shared" ca="1" si="192"/>
        <v>12</v>
      </c>
      <c r="BO61" s="16" t="str">
        <f t="shared" si="174"/>
        <v>4D</v>
      </c>
      <c r="BP61" s="16"/>
      <c r="BQ61" s="16"/>
      <c r="BR61" s="16">
        <f t="shared" ca="1" si="175"/>
        <v>2</v>
      </c>
      <c r="BS61" s="16">
        <f t="shared" ca="1" si="193"/>
        <v>12</v>
      </c>
      <c r="BT61" s="16" t="str">
        <f t="shared" ca="1" si="194"/>
        <v>-</v>
      </c>
      <c r="BU61" s="16" t="str">
        <f t="shared" ca="1" si="176"/>
        <v>-</v>
      </c>
      <c r="BV61" s="16">
        <f t="shared" ca="1" si="177"/>
        <v>12</v>
      </c>
      <c r="BW61" s="16" t="str">
        <f t="shared" ca="1" si="178"/>
        <v>-</v>
      </c>
      <c r="BX61" s="16" t="str">
        <f t="shared" ca="1" si="179"/>
        <v>-</v>
      </c>
      <c r="BY61" s="16">
        <f t="shared" ca="1" si="180"/>
        <v>12</v>
      </c>
      <c r="BZ61" s="16" t="str">
        <f t="shared" ca="1" si="181"/>
        <v>-</v>
      </c>
      <c r="CA61" s="16" t="str">
        <f t="shared" ca="1" si="182"/>
        <v>-</v>
      </c>
      <c r="CB61" s="16">
        <f t="shared" ca="1" si="195"/>
        <v>12</v>
      </c>
      <c r="CC61" s="16"/>
      <c r="CD61" s="16">
        <f t="shared" ca="1" si="183"/>
        <v>12</v>
      </c>
      <c r="CE61" s="16" t="str">
        <f t="shared" ca="1" si="196"/>
        <v>-</v>
      </c>
      <c r="CF61" s="16">
        <f t="shared" ca="1" si="197"/>
        <v>12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Senegal</v>
      </c>
    </row>
    <row r="62" spans="1:121" ht="16.149999999999999"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1</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1</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5</v>
      </c>
      <c r="BL62" s="16">
        <f t="shared" ca="1" si="190"/>
        <v>-1</v>
      </c>
      <c r="BM62" s="16">
        <f t="shared" ca="1" si="191"/>
        <v>7</v>
      </c>
      <c r="BN62" s="16">
        <f t="shared" ca="1" si="192"/>
        <v>7</v>
      </c>
      <c r="BO62" s="16" t="str">
        <f t="shared" si="174"/>
        <v>4E</v>
      </c>
      <c r="BP62" s="16"/>
      <c r="BQ62" s="16"/>
      <c r="BR62" s="16">
        <f t="shared" ca="1" si="175"/>
        <v>3</v>
      </c>
      <c r="BS62" s="16">
        <f t="shared" ca="1" si="193"/>
        <v>4</v>
      </c>
      <c r="BT62" s="16" t="str">
        <f t="shared" ca="1" si="194"/>
        <v>Pos. 4 (8)</v>
      </c>
      <c r="BU62" s="16">
        <f t="shared" ca="1" si="176"/>
        <v>-1</v>
      </c>
      <c r="BV62" s="16">
        <f t="shared" ca="1" si="177"/>
        <v>6</v>
      </c>
      <c r="BW62" s="16" t="str">
        <f t="shared" ca="1" si="178"/>
        <v>Pos. 6 (2)</v>
      </c>
      <c r="BX62" s="16">
        <f t="shared" ca="1" si="179"/>
        <v>4</v>
      </c>
      <c r="BY62" s="16">
        <f t="shared" ca="1" si="180"/>
        <v>6</v>
      </c>
      <c r="BZ62" s="16" t="str">
        <f t="shared" ca="1" si="181"/>
        <v>Pos. 6 (2)</v>
      </c>
      <c r="CA62" s="16">
        <f t="shared" ca="1" si="182"/>
        <v>8</v>
      </c>
      <c r="CB62" s="16">
        <f t="shared" ca="1" si="195"/>
        <v>7</v>
      </c>
      <c r="CC62" s="16"/>
      <c r="CD62" s="16">
        <f t="shared" ca="1" si="183"/>
        <v>7.0069999999999997</v>
      </c>
      <c r="CE62" s="16">
        <f t="shared" ca="1" si="196"/>
        <v>6</v>
      </c>
      <c r="CF62" s="16">
        <f t="shared" ca="1" si="197"/>
        <v>7</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Túnez</v>
      </c>
    </row>
    <row r="63" spans="1:121" ht="16.149999999999999"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1</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Túnez</v>
      </c>
      <c r="BE63" s="16">
        <f t="shared" ca="1" si="188"/>
        <v>3</v>
      </c>
      <c r="BF63" s="16">
        <f t="shared" ca="1" si="189"/>
        <v>3</v>
      </c>
      <c r="BG63" s="16">
        <f t="shared" ca="1" si="169"/>
        <v>1</v>
      </c>
      <c r="BH63" s="16">
        <f t="shared" ca="1" si="170"/>
        <v>0</v>
      </c>
      <c r="BI63" s="16">
        <f t="shared" ca="1" si="171"/>
        <v>2</v>
      </c>
      <c r="BJ63" s="16">
        <f t="shared" ca="1" si="172"/>
        <v>4</v>
      </c>
      <c r="BK63" s="16">
        <f t="shared" ca="1" si="173"/>
        <v>4</v>
      </c>
      <c r="BL63" s="16">
        <f t="shared" ca="1" si="190"/>
        <v>0</v>
      </c>
      <c r="BM63" s="16">
        <f t="shared" ca="1" si="191"/>
        <v>5</v>
      </c>
      <c r="BN63" s="16">
        <f t="shared" ca="1" si="192"/>
        <v>5</v>
      </c>
      <c r="BO63" s="16" t="str">
        <f t="shared" si="174"/>
        <v>4F</v>
      </c>
      <c r="BP63" s="16"/>
      <c r="BQ63" s="16"/>
      <c r="BR63" s="16">
        <f t="shared" ca="1" si="175"/>
        <v>3</v>
      </c>
      <c r="BS63" s="16">
        <f t="shared" ca="1" si="193"/>
        <v>4</v>
      </c>
      <c r="BT63" s="16" t="str">
        <f t="shared" ca="1" si="194"/>
        <v>Pos. 4 (8)</v>
      </c>
      <c r="BU63" s="16">
        <f t="shared" ca="1" si="176"/>
        <v>0</v>
      </c>
      <c r="BV63" s="16">
        <f t="shared" ca="1" si="177"/>
        <v>4</v>
      </c>
      <c r="BW63" s="16" t="str">
        <f t="shared" ca="1" si="178"/>
        <v>Pos. 4 (2)</v>
      </c>
      <c r="BX63" s="16">
        <f t="shared" ca="1" si="179"/>
        <v>4</v>
      </c>
      <c r="BY63" s="16">
        <f t="shared" ca="1" si="180"/>
        <v>5</v>
      </c>
      <c r="BZ63" s="16" t="str">
        <f t="shared" ca="1" si="181"/>
        <v>-</v>
      </c>
      <c r="CA63" s="16" t="str">
        <f t="shared" ca="1" si="182"/>
        <v>-</v>
      </c>
      <c r="CB63" s="16">
        <f t="shared" ca="1" si="195"/>
        <v>5</v>
      </c>
      <c r="CC63" s="16"/>
      <c r="CD63" s="16">
        <f t="shared" ca="1" si="183"/>
        <v>5</v>
      </c>
      <c r="CE63" s="16" t="str">
        <f t="shared" ca="1" si="196"/>
        <v>-</v>
      </c>
      <c r="CF63" s="16">
        <f t="shared" ca="1" si="197"/>
        <v>5</v>
      </c>
      <c r="DJ63" s="16">
        <f t="shared" ca="1" si="184"/>
        <v>6</v>
      </c>
      <c r="DK63" s="16"/>
      <c r="DL63" s="16">
        <f t="shared" ca="1" si="185"/>
        <v>2</v>
      </c>
      <c r="DM63" s="16" t="str">
        <f t="shared" ca="1" si="186"/>
        <v>6.2</v>
      </c>
      <c r="DN63" s="16" cm="1">
        <f t="array" aca="1" ref="DN63" ca="1">OFFSET(Horarios!$P$3,DJ63-1,0,DL63,1)</f>
        <v>6</v>
      </c>
      <c r="DO63" s="16"/>
      <c r="DP63" s="16">
        <v>6</v>
      </c>
      <c r="DQ63" s="16" t="str">
        <f t="shared" ca="1" si="198"/>
        <v>Argelia</v>
      </c>
    </row>
    <row r="64" spans="1:121" ht="16.149999999999999"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0</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4</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3</v>
      </c>
      <c r="BK64" s="16">
        <f t="shared" ca="1" si="173"/>
        <v>4</v>
      </c>
      <c r="BL64" s="16">
        <f t="shared" ca="1" si="190"/>
        <v>-1</v>
      </c>
      <c r="BM64" s="16">
        <f t="shared" ca="1" si="191"/>
        <v>3</v>
      </c>
      <c r="BN64" s="16">
        <f t="shared" ca="1" si="192"/>
        <v>3</v>
      </c>
      <c r="BO64" s="16" t="str">
        <f t="shared" si="174"/>
        <v>4G</v>
      </c>
      <c r="BP64" s="16"/>
      <c r="BQ64" s="16"/>
      <c r="BR64" s="16">
        <f t="shared" ca="1" si="175"/>
        <v>4</v>
      </c>
      <c r="BS64" s="16">
        <f t="shared" ca="1" si="193"/>
        <v>1</v>
      </c>
      <c r="BT64" s="16" t="str">
        <f t="shared" ca="1" si="194"/>
        <v>Pos. 1 (3)</v>
      </c>
      <c r="BU64" s="16">
        <f t="shared" ca="1" si="176"/>
        <v>-1</v>
      </c>
      <c r="BV64" s="16">
        <f t="shared" ca="1" si="177"/>
        <v>3</v>
      </c>
      <c r="BW64" s="16" t="str">
        <f t="shared" ca="1" si="178"/>
        <v>-</v>
      </c>
      <c r="BX64" s="16" t="str">
        <f t="shared" ca="1" si="179"/>
        <v>-</v>
      </c>
      <c r="BY64" s="16">
        <f t="shared" ca="1" si="180"/>
        <v>3</v>
      </c>
      <c r="BZ64" s="16" t="str">
        <f t="shared" ca="1" si="181"/>
        <v>-</v>
      </c>
      <c r="CA64" s="16" t="str">
        <f t="shared" ca="1" si="182"/>
        <v>-</v>
      </c>
      <c r="CB64" s="16">
        <f t="shared" ca="1" si="195"/>
        <v>3</v>
      </c>
      <c r="CC64" s="16"/>
      <c r="CD64" s="16">
        <f t="shared" ca="1" si="183"/>
        <v>3</v>
      </c>
      <c r="CE64" s="16" t="str">
        <f t="shared" ca="1" si="196"/>
        <v>-</v>
      </c>
      <c r="CF64" s="16">
        <f t="shared" ca="1" si="197"/>
        <v>3</v>
      </c>
      <c r="DJ64" s="16">
        <f t="shared" ca="1" si="184"/>
        <v>6</v>
      </c>
      <c r="DK64" s="16"/>
      <c r="DL64" s="16">
        <f t="shared" ca="1" si="185"/>
        <v>2</v>
      </c>
      <c r="DM64" s="16" t="str">
        <f t="shared" ca="1" si="186"/>
        <v>6.2</v>
      </c>
      <c r="DN64" s="16" cm="1">
        <f t="array" aca="1" ref="DN64" ca="1">OFFSET(Horarios!$P$3,DJ64-1,0,DL64,1)</f>
        <v>6</v>
      </c>
      <c r="DO64" s="16"/>
      <c r="DP64" s="16">
        <v>7</v>
      </c>
      <c r="DQ64" s="16" t="str">
        <f t="shared" ca="1" si="198"/>
        <v>Costa de Marfil</v>
      </c>
    </row>
    <row r="65" spans="1:121" ht="16.149999999999999"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1</v>
      </c>
      <c r="AD65" s="54">
        <v>2</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4</v>
      </c>
      <c r="BL65" s="16">
        <f t="shared" ca="1" si="190"/>
        <v>-3</v>
      </c>
      <c r="BM65" s="16">
        <f t="shared" ca="1" si="191"/>
        <v>10</v>
      </c>
      <c r="BN65" s="16">
        <f t="shared" ca="1" si="192"/>
        <v>10</v>
      </c>
      <c r="BO65" s="16" t="str">
        <f t="shared" si="174"/>
        <v>4H</v>
      </c>
      <c r="BP65" s="16"/>
      <c r="BQ65" s="16"/>
      <c r="BR65" s="16">
        <f t="shared" ca="1" si="175"/>
        <v>3</v>
      </c>
      <c r="BS65" s="16">
        <f t="shared" ca="1" si="193"/>
        <v>4</v>
      </c>
      <c r="BT65" s="16" t="str">
        <f t="shared" ca="1" si="194"/>
        <v>Pos. 4 (8)</v>
      </c>
      <c r="BU65" s="16">
        <f t="shared" ca="1" si="176"/>
        <v>-3</v>
      </c>
      <c r="BV65" s="16">
        <f t="shared" ca="1" si="177"/>
        <v>9</v>
      </c>
      <c r="BW65" s="16" t="str">
        <f t="shared" ca="1" si="178"/>
        <v>Pos. 9 (2)</v>
      </c>
      <c r="BX65" s="16">
        <f t="shared" ca="1" si="179"/>
        <v>1</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Panamá</v>
      </c>
    </row>
    <row r="66" spans="1:121" ht="16.149999999999999"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0</v>
      </c>
      <c r="BH66" s="16">
        <f t="shared" ca="1" si="170"/>
        <v>3</v>
      </c>
      <c r="BI66" s="16">
        <f t="shared" ca="1" si="171"/>
        <v>0</v>
      </c>
      <c r="BJ66" s="16">
        <f t="shared" ca="1" si="172"/>
        <v>8</v>
      </c>
      <c r="BK66" s="16">
        <f t="shared" ca="1" si="173"/>
        <v>8</v>
      </c>
      <c r="BL66" s="16">
        <f t="shared" ca="1" si="190"/>
        <v>0</v>
      </c>
      <c r="BM66" s="16">
        <f t="shared" ca="1" si="191"/>
        <v>4</v>
      </c>
      <c r="BN66" s="16">
        <f t="shared" ca="1" si="192"/>
        <v>4</v>
      </c>
      <c r="BO66" s="16" t="str">
        <f t="shared" si="174"/>
        <v>4I</v>
      </c>
      <c r="BP66" s="16"/>
      <c r="BQ66" s="16"/>
      <c r="BR66" s="16">
        <f t="shared" ca="1" si="175"/>
        <v>3</v>
      </c>
      <c r="BS66" s="16">
        <f t="shared" ca="1" si="193"/>
        <v>4</v>
      </c>
      <c r="BT66" s="16" t="str">
        <f t="shared" ca="1" si="194"/>
        <v>Pos. 4 (8)</v>
      </c>
      <c r="BU66" s="16">
        <f t="shared" ca="1" si="176"/>
        <v>0</v>
      </c>
      <c r="BV66" s="16">
        <f t="shared" ca="1" si="177"/>
        <v>4</v>
      </c>
      <c r="BW66" s="16" t="str">
        <f t="shared" ca="1" si="178"/>
        <v>Pos. 4 (2)</v>
      </c>
      <c r="BX66" s="16">
        <f t="shared" ca="1" si="179"/>
        <v>8</v>
      </c>
      <c r="BY66" s="16">
        <f t="shared" ca="1" si="180"/>
        <v>4</v>
      </c>
      <c r="BZ66" s="16" t="str">
        <f t="shared" ca="1" si="181"/>
        <v>-</v>
      </c>
      <c r="CA66" s="16" t="str">
        <f t="shared" ca="1" si="182"/>
        <v>-</v>
      </c>
      <c r="CB66" s="16">
        <f t="shared" ca="1" si="195"/>
        <v>4</v>
      </c>
      <c r="CC66" s="16"/>
      <c r="CD66" s="16">
        <f t="shared" ca="1" si="183"/>
        <v>4</v>
      </c>
      <c r="CE66" s="16" t="str">
        <f t="shared" ca="1" si="196"/>
        <v>-</v>
      </c>
      <c r="CF66" s="16">
        <f t="shared" ca="1" si="197"/>
        <v>4</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Uzbekistán</v>
      </c>
    </row>
    <row r="67" spans="1:121" ht="16.149999999999999"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4</v>
      </c>
      <c r="BK67" s="16">
        <f t="shared" ca="1" si="173"/>
        <v>5</v>
      </c>
      <c r="BL67" s="16">
        <f t="shared" ca="1" si="190"/>
        <v>-1</v>
      </c>
      <c r="BM67" s="16">
        <f t="shared" ca="1" si="191"/>
        <v>6</v>
      </c>
      <c r="BN67" s="16">
        <f t="shared" ca="1" si="192"/>
        <v>6</v>
      </c>
      <c r="BO67" s="16" t="str">
        <f t="shared" si="174"/>
        <v>4J</v>
      </c>
      <c r="BP67" s="16"/>
      <c r="BQ67" s="16"/>
      <c r="BR67" s="16">
        <f t="shared" ca="1" si="175"/>
        <v>3</v>
      </c>
      <c r="BS67" s="16">
        <f t="shared" ca="1" si="193"/>
        <v>4</v>
      </c>
      <c r="BT67" s="16" t="str">
        <f t="shared" ca="1" si="194"/>
        <v>Pos. 4 (8)</v>
      </c>
      <c r="BU67" s="16">
        <f t="shared" ca="1" si="176"/>
        <v>-1</v>
      </c>
      <c r="BV67" s="16">
        <f t="shared" ca="1" si="177"/>
        <v>6</v>
      </c>
      <c r="BW67" s="16" t="str">
        <f t="shared" ca="1" si="178"/>
        <v>Pos. 6 (2)</v>
      </c>
      <c r="BX67" s="16">
        <f t="shared" ca="1" si="179"/>
        <v>4</v>
      </c>
      <c r="BY67" s="16">
        <f t="shared" ca="1" si="180"/>
        <v>6</v>
      </c>
      <c r="BZ67" s="16" t="str">
        <f t="shared" ca="1" si="181"/>
        <v>Pos. 6 (2)</v>
      </c>
      <c r="CA67" s="16">
        <f t="shared" ca="1" si="182"/>
        <v>10</v>
      </c>
      <c r="CB67" s="16">
        <f t="shared" ca="1" si="195"/>
        <v>6</v>
      </c>
      <c r="CC67" s="16"/>
      <c r="CD67" s="16">
        <f t="shared" ca="1" si="183"/>
        <v>6.0060000000000002</v>
      </c>
      <c r="CE67" s="16">
        <f t="shared" ca="1" si="196"/>
        <v>5</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6.149999999999999"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
      </c>
      <c r="AC68" s="50">
        <v>2</v>
      </c>
      <c r="AD68" s="51">
        <v>2</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3</v>
      </c>
      <c r="BK68" s="16">
        <f t="shared" ca="1" si="173"/>
        <v>6</v>
      </c>
      <c r="BL68" s="16">
        <f t="shared" ca="1" si="190"/>
        <v>-3</v>
      </c>
      <c r="BM68" s="16">
        <f t="shared" ca="1" si="191"/>
        <v>9</v>
      </c>
      <c r="BN68" s="16">
        <f t="shared" ca="1" si="192"/>
        <v>9</v>
      </c>
      <c r="BO68" s="16" t="str">
        <f t="shared" si="174"/>
        <v>4K</v>
      </c>
      <c r="BP68" s="16"/>
      <c r="BQ68" s="16"/>
      <c r="BR68" s="16">
        <f t="shared" ca="1" si="175"/>
        <v>3</v>
      </c>
      <c r="BS68" s="16">
        <f t="shared" ca="1" si="193"/>
        <v>4</v>
      </c>
      <c r="BT68" s="16" t="str">
        <f t="shared" ca="1" si="194"/>
        <v>Pos. 4 (8)</v>
      </c>
      <c r="BU68" s="16">
        <f t="shared" ca="1" si="176"/>
        <v>-3</v>
      </c>
      <c r="BV68" s="16">
        <f t="shared" ca="1" si="177"/>
        <v>9</v>
      </c>
      <c r="BW68" s="16" t="str">
        <f t="shared" ca="1" si="178"/>
        <v>Pos. 9 (2)</v>
      </c>
      <c r="BX68" s="16">
        <f t="shared" ca="1" si="179"/>
        <v>3</v>
      </c>
      <c r="BY68" s="16">
        <f t="shared" ca="1" si="180"/>
        <v>9</v>
      </c>
      <c r="BZ68" s="16" t="str">
        <f t="shared" ca="1" si="181"/>
        <v>-</v>
      </c>
      <c r="CA68" s="16" t="str">
        <f t="shared" ca="1" si="182"/>
        <v>-</v>
      </c>
      <c r="CB68" s="16">
        <f t="shared" ca="1" si="195"/>
        <v>9</v>
      </c>
      <c r="CC68" s="16"/>
      <c r="CD68" s="16">
        <f t="shared" ca="1" si="183"/>
        <v>9</v>
      </c>
      <c r="CE68" s="16" t="str">
        <f t="shared" ca="1" si="196"/>
        <v>-</v>
      </c>
      <c r="CF68" s="16">
        <f t="shared" ca="1" si="197"/>
        <v>9</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Haití</v>
      </c>
    </row>
    <row r="69" spans="1:121" ht="16.149999999999999"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str" cm="1">
        <f t="array" aca="1" ref="AB69" ca="1">Ver_flag_local</f>
        <v/>
      </c>
      <c r="AC69" s="50">
        <v>0</v>
      </c>
      <c r="AD69" s="51">
        <v>3</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Panamá</v>
      </c>
      <c r="BE69" s="16">
        <f t="shared" ca="1" si="188"/>
        <v>3</v>
      </c>
      <c r="BF69" s="16">
        <f t="shared" ca="1" si="189"/>
        <v>3</v>
      </c>
      <c r="BG69" s="16">
        <f t="shared" ca="1" si="169"/>
        <v>1</v>
      </c>
      <c r="BH69" s="16">
        <f t="shared" ca="1" si="170"/>
        <v>0</v>
      </c>
      <c r="BI69" s="16">
        <f t="shared" ca="1" si="171"/>
        <v>2</v>
      </c>
      <c r="BJ69" s="16">
        <f t="shared" ca="1" si="172"/>
        <v>4</v>
      </c>
      <c r="BK69" s="16">
        <f t="shared" ca="1" si="173"/>
        <v>6</v>
      </c>
      <c r="BL69" s="16">
        <f t="shared" ca="1" si="190"/>
        <v>-2</v>
      </c>
      <c r="BM69" s="16">
        <f t="shared" ca="1" si="191"/>
        <v>8</v>
      </c>
      <c r="BN69" s="16">
        <f t="shared" ca="1" si="192"/>
        <v>8</v>
      </c>
      <c r="BO69" s="16" t="str">
        <f t="shared" si="174"/>
        <v>4L</v>
      </c>
      <c r="BP69" s="16"/>
      <c r="BQ69" s="16"/>
      <c r="BR69" s="16">
        <f t="shared" ca="1" si="175"/>
        <v>3</v>
      </c>
      <c r="BS69" s="16">
        <f t="shared" ca="1" si="193"/>
        <v>4</v>
      </c>
      <c r="BT69" s="16" t="str">
        <f t="shared" ca="1" si="194"/>
        <v>Pos. 4 (8)</v>
      </c>
      <c r="BU69" s="16">
        <f t="shared" ca="1" si="176"/>
        <v>-2</v>
      </c>
      <c r="BV69" s="16">
        <f t="shared" ca="1" si="177"/>
        <v>8</v>
      </c>
      <c r="BW69" s="16" t="str">
        <f t="shared" ca="1" si="178"/>
        <v>-</v>
      </c>
      <c r="BX69" s="16" t="str">
        <f t="shared" ca="1" si="179"/>
        <v>-</v>
      </c>
      <c r="BY69" s="16">
        <f t="shared" ca="1" si="180"/>
        <v>8</v>
      </c>
      <c r="BZ69" s="16" t="str">
        <f t="shared" ca="1" si="181"/>
        <v>-</v>
      </c>
      <c r="CA69" s="16" t="str">
        <f t="shared" ca="1" si="182"/>
        <v>-</v>
      </c>
      <c r="CB69" s="16">
        <f ca="1">BY69+COUNTIFS(BZ$58:BZ$69,BZ69,CA$58:CA$69,"&gt;"&amp;CA69)</f>
        <v>8</v>
      </c>
      <c r="CC69" s="16"/>
      <c r="CD69" s="16">
        <f t="shared" ca="1" si="183"/>
        <v>8</v>
      </c>
      <c r="CE69" s="16" t="str">
        <f t="shared" ca="1" si="196"/>
        <v>-</v>
      </c>
      <c r="CF69" s="16">
        <f t="shared" ca="1" si="197"/>
        <v>8</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Estados Unidos</v>
      </c>
    </row>
    <row r="70" spans="1:121" ht="16.149999999999999"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7</v>
      </c>
      <c r="AS70" s="36">
        <f t="shared" ca="1" si="233"/>
        <v>3</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6.149999999999999"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
      </c>
      <c r="AC71" s="50">
        <v>2</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6</v>
      </c>
      <c r="AS71" s="39">
        <f t="shared" ca="1" si="233"/>
        <v>4</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149999999999999"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0</v>
      </c>
      <c r="AP72" s="39">
        <f t="shared" ca="1" si="233"/>
        <v>3</v>
      </c>
      <c r="AQ72" s="39">
        <f t="shared" ca="1" si="233"/>
        <v>0</v>
      </c>
      <c r="AR72" s="39">
        <f t="shared" ca="1" si="233"/>
        <v>8</v>
      </c>
      <c r="AS72" s="39">
        <f t="shared" ca="1" si="233"/>
        <v>8</v>
      </c>
      <c r="AT72" s="43">
        <f t="shared" ca="1" si="233"/>
        <v>0</v>
      </c>
      <c r="AU72" s="330">
        <f ca="1">INDEX($DL$6:$DL$53,MATCH(AI72,$DP$6:$DP$53,0))</f>
        <v>1</v>
      </c>
      <c r="AV72" s="182" t="str">
        <f ca="1">INDEX($BD$6:$BD$53,MATCH(AI72,$BM$6:$BM$53,0))</f>
        <v>Senegal</v>
      </c>
      <c r="AW72" s="210"/>
      <c r="AX72" s="171"/>
      <c r="AY72" s="201" t="str">
        <f ca="1">+A71</f>
        <v>Irak</v>
      </c>
      <c r="AZ72" s="202"/>
      <c r="BA72" s="176"/>
      <c r="DN72" s="16"/>
    </row>
    <row r="73" spans="1:121" ht="16.149999999999999" customHeight="1" thickBot="1">
      <c r="A73" s="16"/>
      <c r="B73" s="16"/>
      <c r="C73" s="16"/>
      <c r="D73" s="16" t="str">
        <f t="shared" si="217"/>
        <v>Empate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4</v>
      </c>
      <c r="AD73" s="54">
        <v>4</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4</v>
      </c>
      <c r="AS73" s="47">
        <f t="shared" ca="1" si="233"/>
        <v>10</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6.149999999999999"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149999999999999"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149999999999999"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str" cm="1">
        <f t="array" aca="1" ref="AB76" ca="1">Ver_flag_local</f>
        <v/>
      </c>
      <c r="AC76" s="50">
        <v>3</v>
      </c>
      <c r="AD76" s="51">
        <v>2</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149999999999999"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2</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149999999999999" customHeight="1">
      <c r="A78" s="16" t="str">
        <f ca="1">+Equipos!B39</f>
        <v>Argelia</v>
      </c>
      <c r="B78" s="16"/>
      <c r="C78" s="16"/>
      <c r="D78" s="16" t="str">
        <f t="shared" si="235"/>
        <v>Visitante</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str" cm="1">
        <f t="array" aca="1" ref="AB78" ca="1">Ver_flag_local</f>
        <v/>
      </c>
      <c r="AC78" s="50">
        <v>0</v>
      </c>
      <c r="AD78" s="51">
        <v>3</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Austria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30">
        <f ca="1">INDEX($DL$6:$DL$53,MATCH(AI78,$DP$6:$DP$53,0))</f>
        <v>1</v>
      </c>
      <c r="AV78" s="182" t="str">
        <f ca="1">INDEX($BD$6:$BD$53,MATCH(AI78,$BM$6:$BM$53,0))</f>
        <v>Austria</v>
      </c>
      <c r="AW78" s="210"/>
      <c r="AX78" s="171"/>
      <c r="AY78" s="201" t="str">
        <f ca="1">+A77</f>
        <v>Argentina</v>
      </c>
      <c r="AZ78" s="202"/>
      <c r="BA78" s="176"/>
      <c r="DN78" s="16"/>
    </row>
    <row r="79" spans="1:121" ht="16.149999999999999"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Argentina</v>
      </c>
      <c r="AM79" s="38">
        <f t="shared" ca="1" si="251"/>
        <v>6</v>
      </c>
      <c r="AN79" s="39">
        <f t="shared" ca="1" si="251"/>
        <v>3</v>
      </c>
      <c r="AO79" s="39">
        <f t="shared" ca="1" si="251"/>
        <v>2</v>
      </c>
      <c r="AP79" s="39">
        <f t="shared" ca="1" si="251"/>
        <v>0</v>
      </c>
      <c r="AQ79" s="39">
        <f t="shared" ca="1" si="251"/>
        <v>1</v>
      </c>
      <c r="AR79" s="39">
        <f t="shared" ca="1" si="251"/>
        <v>4</v>
      </c>
      <c r="AS79" s="39">
        <f t="shared" ca="1" si="251"/>
        <v>5</v>
      </c>
      <c r="AT79" s="43">
        <f t="shared" ca="1" si="251"/>
        <v>-1</v>
      </c>
      <c r="AU79" s="330">
        <f ca="1">INDEX($DL$6:$DL$53,MATCH(AI79,$DP$6:$DP$53,0))</f>
        <v>1</v>
      </c>
      <c r="AV79" s="182" t="str">
        <f ca="1">INDEX($BD$6:$BD$53,MATCH(AI79,$BM$6:$BM$53,0))</f>
        <v>Argentina</v>
      </c>
      <c r="AW79" s="210"/>
      <c r="AX79" s="171"/>
      <c r="AY79" s="203" t="str">
        <f ca="1">+A78</f>
        <v>Argelia</v>
      </c>
      <c r="AZ79" s="204"/>
      <c r="BA79" s="176"/>
      <c r="DN79" s="16"/>
    </row>
    <row r="80" spans="1:121" ht="16.149999999999999"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str" cm="1">
        <f t="array" aca="1" ref="AB80" ca="1">Ver_flag_local</f>
        <v/>
      </c>
      <c r="AC80" s="50">
        <v>0</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4</v>
      </c>
      <c r="AS80" s="39">
        <f t="shared" ca="1" si="251"/>
        <v>5</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6.149999999999999"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0</v>
      </c>
      <c r="AD81" s="54">
        <v>1</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2</v>
      </c>
      <c r="AS81" s="47">
        <f t="shared" ca="1" si="251"/>
        <v>5</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6.149999999999999"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149999999999999"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149999999999999"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2</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149999999999999"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2</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149999999999999"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1</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2</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6.149999999999999"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2</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149999999999999"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3</v>
      </c>
      <c r="AS88" s="39">
        <f t="shared" ca="1" si="269"/>
        <v>6</v>
      </c>
      <c r="AT88" s="43">
        <f t="shared" ca="1" si="269"/>
        <v>-3</v>
      </c>
      <c r="AU88" s="330">
        <f ca="1">INDEX($DL$6:$DL$53,MATCH(AI88,$DP$6:$DP$53,0))</f>
        <v>1</v>
      </c>
      <c r="AV88" s="182" t="str">
        <f ca="1">INDEX($BD$6:$BD$53,MATCH(AI88,$BM$6:$BM$53,0))</f>
        <v>Uzbekistán</v>
      </c>
      <c r="AW88" s="210"/>
      <c r="AX88" s="171"/>
      <c r="AY88" s="201" t="str">
        <f ca="1">+A87</f>
        <v>Uzbekistán</v>
      </c>
      <c r="AZ88" s="202"/>
      <c r="BA88" s="176"/>
    </row>
    <row r="89" spans="1:118" ht="16.149999999999999"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1</v>
      </c>
      <c r="AD89" s="54">
        <v>2</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1</v>
      </c>
      <c r="AS89" s="47">
        <f t="shared" ca="1" si="269"/>
        <v>6</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6.149999999999999"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149999999999999"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149999999999999" customHeight="1" thickBot="1">
      <c r="A92" s="16" t="s">
        <v>32</v>
      </c>
      <c r="B92" s="16" t="s">
        <v>247</v>
      </c>
      <c r="C92" s="16">
        <f>COUNTIF(Equipos!$C$2:$C$49,WORLDCUP!B92)</f>
        <v>4</v>
      </c>
      <c r="D92" s="16" t="str">
        <f t="shared" ref="D92:D97" si="271">IF(OR(AC92="",AD92=""),"Pendiente",IF(AC92&gt;AD92,"Local",IF(AC92&lt;AD92,"Visitante","Empate")))</f>
        <v>Visitante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1</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149999999999999" customHeight="1">
      <c r="A93" s="16" t="str">
        <f ca="1">+Equipos!B46</f>
        <v>Inglaterra</v>
      </c>
      <c r="B93" s="16"/>
      <c r="C93" s="16"/>
      <c r="D93" s="16" t="str">
        <f t="shared" si="271"/>
        <v>Visitante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1</v>
      </c>
      <c r="AD93" s="51">
        <v>2</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149999999999999"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2</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Croacia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9</v>
      </c>
      <c r="AS94" s="36">
        <f t="shared" ca="1" si="287"/>
        <v>2</v>
      </c>
      <c r="AT94" s="41">
        <f t="shared" ca="1" si="287"/>
        <v>7</v>
      </c>
      <c r="AU94" s="330">
        <f ca="1">INDEX($DL$6:$DL$53,MATCH(AI94,$DP$6:$DP$53,0))</f>
        <v>1</v>
      </c>
      <c r="AV94" s="182" t="str">
        <f ca="1">INDEX($BD$6:$BD$53,MATCH(AI94,$BM$6:$BM$53,0))</f>
        <v>Croacia</v>
      </c>
      <c r="AW94" s="210"/>
      <c r="AX94" s="171"/>
      <c r="AY94" s="201" t="str">
        <f ca="1">+A93</f>
        <v>Inglaterra</v>
      </c>
      <c r="AZ94" s="202"/>
      <c r="BA94" s="176"/>
    </row>
    <row r="95" spans="1:118" ht="16.149999999999999"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3</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Inglaterra</v>
      </c>
      <c r="AM95" s="38">
        <f t="shared" ca="1" si="287"/>
        <v>6</v>
      </c>
      <c r="AN95" s="39">
        <f t="shared" ca="1" si="287"/>
        <v>3</v>
      </c>
      <c r="AO95" s="39">
        <f t="shared" ca="1" si="287"/>
        <v>2</v>
      </c>
      <c r="AP95" s="39">
        <f t="shared" ca="1" si="287"/>
        <v>0</v>
      </c>
      <c r="AQ95" s="39">
        <f t="shared" ca="1" si="287"/>
        <v>1</v>
      </c>
      <c r="AR95" s="39">
        <f t="shared" ca="1" si="287"/>
        <v>5</v>
      </c>
      <c r="AS95" s="39">
        <f t="shared" ca="1" si="287"/>
        <v>4</v>
      </c>
      <c r="AT95" s="43">
        <f t="shared" ca="1" si="287"/>
        <v>1</v>
      </c>
      <c r="AU95" s="330">
        <f ca="1">INDEX($DL$6:$DL$53,MATCH(AI95,$DP$6:$DP$53,0))</f>
        <v>1</v>
      </c>
      <c r="AV95" s="182" t="str">
        <f ca="1">INDEX($BD$6:$BD$53,MATCH(AI95,$BM$6:$BM$53,0))</f>
        <v>Inglaterra</v>
      </c>
      <c r="AW95" s="210"/>
      <c r="AX95" s="171"/>
      <c r="AY95" s="203" t="str">
        <f ca="1">+A94</f>
        <v>Croacia</v>
      </c>
      <c r="AZ95" s="204"/>
      <c r="BA95" s="176"/>
    </row>
    <row r="96" spans="1:118" ht="16.149999999999999"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1</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4</v>
      </c>
      <c r="AS96" s="39">
        <f t="shared" ca="1" si="287"/>
        <v>6</v>
      </c>
      <c r="AT96" s="43">
        <f t="shared" ca="1" si="287"/>
        <v>-2</v>
      </c>
      <c r="AU96" s="330">
        <f ca="1">INDEX($DL$6:$DL$53,MATCH(AI96,$DP$6:$DP$53,0))</f>
        <v>1</v>
      </c>
      <c r="AV96" s="182" t="str">
        <f ca="1">INDEX($BD$6:$BD$53,MATCH(AI96,$BM$6:$BM$53,0))</f>
        <v>Panamá</v>
      </c>
      <c r="AW96" s="210"/>
      <c r="AX96" s="171"/>
      <c r="AY96" s="201" t="str">
        <f ca="1">+A95</f>
        <v>Ghana</v>
      </c>
      <c r="AZ96" s="202"/>
      <c r="BA96" s="176"/>
    </row>
    <row r="97" spans="1:62" ht="16.149999999999999"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4</v>
      </c>
      <c r="AD97" s="54">
        <v>0</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Ghana</v>
      </c>
      <c r="AM97" s="46">
        <f t="shared" ca="1" si="287"/>
        <v>0</v>
      </c>
      <c r="AN97" s="47">
        <f t="shared" ca="1" si="287"/>
        <v>3</v>
      </c>
      <c r="AO97" s="47">
        <f t="shared" ca="1" si="287"/>
        <v>0</v>
      </c>
      <c r="AP97" s="47">
        <f t="shared" ca="1" si="287"/>
        <v>0</v>
      </c>
      <c r="AQ97" s="47">
        <f t="shared" ca="1" si="287"/>
        <v>3</v>
      </c>
      <c r="AR97" s="47">
        <f t="shared" ca="1" si="287"/>
        <v>2</v>
      </c>
      <c r="AS97" s="47">
        <f t="shared" ca="1" si="287"/>
        <v>8</v>
      </c>
      <c r="AT97" s="48">
        <f t="shared" ca="1" si="287"/>
        <v>-6</v>
      </c>
      <c r="AU97" s="330">
        <f ca="1">INDEX($DL$6:$DL$53,MATCH(AI97,$DP$6:$DP$53,0))</f>
        <v>1</v>
      </c>
      <c r="AV97" s="182" t="str">
        <f ca="1">INDEX($BD$6:$BD$53,MATCH(AI97,$BM$6:$BM$53,0))</f>
        <v>Ghana</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149999999999999"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149999999999999"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México</v>
      </c>
      <c r="AB101" s="89"/>
      <c r="AC101" s="51">
        <v>2</v>
      </c>
      <c r="AD101" s="51">
        <v>1</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ABEFGIJL</v>
      </c>
      <c r="BA101" s="176"/>
    </row>
    <row r="102" spans="1:62" ht="16.149999999999999" customHeight="1">
      <c r="A102" s="16" t="s">
        <v>673</v>
      </c>
      <c r="B102" s="16" t="s">
        <v>734</v>
      </c>
      <c r="C102" s="16"/>
      <c r="D102" s="16" t="str">
        <f t="shared" ca="1" si="289"/>
        <v>Países Bajos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Túnez</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Marruecos</v>
      </c>
      <c r="AB102" s="89"/>
      <c r="AC102" s="92">
        <v>1</v>
      </c>
      <c r="AD102" s="92">
        <v>3</v>
      </c>
      <c r="AE102" s="89"/>
      <c r="AF102" s="91" t="str">
        <f t="shared" ca="1" si="293"/>
        <v>Países Bajos</v>
      </c>
      <c r="AG102" s="327">
        <f t="shared" ca="1" si="294"/>
        <v>1</v>
      </c>
      <c r="AH102" s="195">
        <v>76</v>
      </c>
      <c r="AI102" s="182">
        <v>1</v>
      </c>
      <c r="AJ102" s="80">
        <v>1</v>
      </c>
      <c r="AK102" s="605" t="str" cm="1">
        <f t="array" aca="1" ref="AK102" ca="1">Ver_flag_visit</f>
        <v/>
      </c>
      <c r="AL102" s="81" t="str">
        <f t="shared" ref="AL102:AL113" ca="1" si="297">+IF($H$113&gt;=48,INDEX($BD$58:$BD$69,MATCH(AI102,$BN$58:$BN$69,0)),BB58)</f>
        <v>República Checa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4</v>
      </c>
      <c r="AT102" s="84">
        <f t="shared" ca="1" si="298"/>
        <v>1</v>
      </c>
      <c r="AU102" s="330">
        <f t="shared" ref="AU102:AU113" ca="1" si="299">IF($H$113=144,INDEX($DL$58:$DL$69,MATCH(AI102,$DP$58:$DP$69,0)),"")</f>
        <v>1</v>
      </c>
      <c r="AV102" s="182" t="str">
        <f t="shared" ref="AV102:AV113" ca="1" si="300">INDEX($BD$58:$BD$69,MATCH(AI102,$BM$58:$BM$69,0))</f>
        <v>República Checa</v>
      </c>
      <c r="AW102" s="215"/>
      <c r="AX102" s="170"/>
      <c r="AY102" s="154"/>
      <c r="AZ102" s="155"/>
      <c r="BA102" s="176"/>
      <c r="BE102" t="s">
        <v>454</v>
      </c>
      <c r="BF102" t="s">
        <v>731</v>
      </c>
      <c r="BG102" t="s">
        <v>776</v>
      </c>
      <c r="BI102" t="s">
        <v>86</v>
      </c>
    </row>
    <row r="103" spans="1:62" ht="16.149999999999999"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Túnez</v>
      </c>
      <c r="AG103" s="327">
        <f t="shared" ca="1" si="294"/>
        <v>1</v>
      </c>
      <c r="AH103" s="195">
        <v>74</v>
      </c>
      <c r="AI103" s="182">
        <v>2</v>
      </c>
      <c r="AJ103" s="42">
        <v>2</v>
      </c>
      <c r="AK103" s="602" t="str" cm="1">
        <f t="array" aca="1" ref="AK103" ca="1">Ver_flag_visit</f>
        <v/>
      </c>
      <c r="AL103" s="85" t="str">
        <f t="shared" ca="1" si="297"/>
        <v>Bosnia y Herzegovina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2</v>
      </c>
      <c r="AS103" s="86">
        <f t="shared" ca="1" si="302"/>
        <v>2</v>
      </c>
      <c r="AT103" s="87">
        <f t="shared" ca="1" si="302"/>
        <v>0</v>
      </c>
      <c r="AU103" s="330">
        <f t="shared" ca="1" si="299"/>
        <v>1</v>
      </c>
      <c r="AV103" s="182" t="str">
        <f t="shared" ca="1" si="300"/>
        <v>Bosnia y Herzegovina</v>
      </c>
      <c r="AW103" s="215"/>
      <c r="AX103" s="170"/>
      <c r="AY103" s="276"/>
      <c r="AZ103" s="279" t="str">
        <f t="shared" ref="AZ103:AZ110" ca="1" si="303">+IF(OR($H$113&gt;=48,$AJ$99=144),BF117&amp;" - "&amp;BG117,"")</f>
        <v>1A - 3E</v>
      </c>
      <c r="BA103" s="17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6.149999999999999" customHeight="1">
      <c r="A104" s="16" t="s">
        <v>663</v>
      </c>
      <c r="B104" s="16" t="s">
        <v>677</v>
      </c>
      <c r="C104" s="16"/>
      <c r="D104" s="16" t="str">
        <f t="shared" ca="1" si="289"/>
        <v>Brasil</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58"/>
      <c r="X104" s="24">
        <f ca="1">Horarios!C104</f>
        <v>46203.125</v>
      </c>
      <c r="Y104" s="25">
        <f ca="1">Horarios!C104</f>
        <v>46203.125</v>
      </c>
      <c r="Z104" s="280">
        <f t="shared" si="296"/>
        <v>75</v>
      </c>
      <c r="AA104" s="88" t="str">
        <f t="shared" ca="1" si="292"/>
        <v>Japón</v>
      </c>
      <c r="AB104" s="89">
        <v>2</v>
      </c>
      <c r="AC104" s="92">
        <v>2</v>
      </c>
      <c r="AD104" s="92">
        <v>2</v>
      </c>
      <c r="AE104" s="89">
        <v>4</v>
      </c>
      <c r="AF104" s="91" t="str">
        <f t="shared" ca="1" si="293"/>
        <v>Brasil</v>
      </c>
      <c r="AG104" s="327">
        <f t="shared" ca="1" si="294"/>
        <v>1</v>
      </c>
      <c r="AH104" s="195">
        <v>75</v>
      </c>
      <c r="AI104" s="182">
        <v>3</v>
      </c>
      <c r="AJ104" s="42">
        <v>3</v>
      </c>
      <c r="AK104" s="602" t="str" cm="1">
        <f t="array" aca="1" ref="AK104" ca="1">Ver_flag_visit</f>
        <v/>
      </c>
      <c r="AL104" s="85" t="str">
        <f t="shared" ca="1" si="297"/>
        <v>Egipto</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4</v>
      </c>
      <c r="AT104" s="87">
        <f t="shared" ca="1" si="307"/>
        <v>-1</v>
      </c>
      <c r="AU104" s="330">
        <f t="shared" ca="1" si="299"/>
        <v>1</v>
      </c>
      <c r="AV104" s="182" t="str">
        <f t="shared" ca="1" si="300"/>
        <v>Egipto</v>
      </c>
      <c r="AW104" s="215"/>
      <c r="AX104" s="170"/>
      <c r="AY104" s="276"/>
      <c r="AZ104" s="279" t="str">
        <f t="shared" ca="1" si="303"/>
        <v>1B - 3J</v>
      </c>
      <c r="BA104" s="176"/>
      <c r="BF104" t="str">
        <f t="shared" ca="1" si="304"/>
        <v>B</v>
      </c>
      <c r="BG104">
        <f t="shared" ca="1" si="305"/>
        <v>2</v>
      </c>
      <c r="BI104">
        <v>2</v>
      </c>
      <c r="BJ104" t="str">
        <f t="shared" ca="1" si="306"/>
        <v>B</v>
      </c>
    </row>
    <row r="105" spans="1:62" ht="16.149999999999999"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Egipto</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0</v>
      </c>
      <c r="AD105" s="92">
        <v>1</v>
      </c>
      <c r="AE105" s="89"/>
      <c r="AF105" s="91" t="str">
        <f t="shared" ca="1" si="293"/>
        <v>Noruega</v>
      </c>
      <c r="AG105" s="327">
        <f t="shared" ca="1" si="294"/>
        <v>1</v>
      </c>
      <c r="AH105" s="195">
        <v>78</v>
      </c>
      <c r="AI105" s="182">
        <v>4</v>
      </c>
      <c r="AJ105" s="42">
        <v>4</v>
      </c>
      <c r="AK105" s="602" t="str" cm="1">
        <f t="array" aca="1" ref="AK105" ca="1">Ver_flag_visit</f>
        <v/>
      </c>
      <c r="AL105" s="85" t="str">
        <f t="shared" ca="1" si="297"/>
        <v>Senegal</v>
      </c>
      <c r="AM105" s="589">
        <f t="shared" ca="1" si="301"/>
        <v>3</v>
      </c>
      <c r="AN105" s="86">
        <f t="shared" ref="AN105:AT105" ca="1" si="308">+IF($H$113&gt;=48,INDEX($BE$58:$BN$69,MATCH($AL105,$BD$58:$BD$69,0),MATCH(AN$5,$BE$57:$BN$57,0)),$BB61)</f>
        <v>3</v>
      </c>
      <c r="AO105" s="86">
        <f t="shared" ca="1" si="308"/>
        <v>0</v>
      </c>
      <c r="AP105" s="86">
        <f t="shared" ca="1" si="308"/>
        <v>3</v>
      </c>
      <c r="AQ105" s="86">
        <f t="shared" ca="1" si="308"/>
        <v>0</v>
      </c>
      <c r="AR105" s="86">
        <f t="shared" ca="1" si="308"/>
        <v>8</v>
      </c>
      <c r="AS105" s="86">
        <f t="shared" ca="1" si="308"/>
        <v>8</v>
      </c>
      <c r="AT105" s="87">
        <f t="shared" ca="1" si="308"/>
        <v>0</v>
      </c>
      <c r="AU105" s="330">
        <f t="shared" ca="1" si="299"/>
        <v>1</v>
      </c>
      <c r="AV105" s="182" t="str">
        <f t="shared" ca="1" si="300"/>
        <v>Senegal</v>
      </c>
      <c r="AW105" s="215"/>
      <c r="AX105" s="170"/>
      <c r="AY105" s="276"/>
      <c r="AZ105" s="279" t="str">
        <f t="shared" ca="1" si="303"/>
        <v>1D - 3B</v>
      </c>
      <c r="BA105" s="176"/>
      <c r="BF105" t="str">
        <f t="shared" ca="1" si="304"/>
        <v>G</v>
      </c>
      <c r="BG105">
        <f t="shared" ca="1" si="305"/>
        <v>5</v>
      </c>
      <c r="BI105">
        <v>3</v>
      </c>
      <c r="BJ105" t="str">
        <f t="shared" ca="1" si="306"/>
        <v>E</v>
      </c>
    </row>
    <row r="106" spans="1:62" ht="16.149999999999999"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Egipto</v>
      </c>
      <c r="AG106" s="327">
        <f t="shared" ca="1" si="294"/>
        <v>1</v>
      </c>
      <c r="AH106" s="195">
        <v>77</v>
      </c>
      <c r="AI106" s="182">
        <v>5</v>
      </c>
      <c r="AJ106" s="42">
        <v>5</v>
      </c>
      <c r="AK106" s="602" t="str" cm="1">
        <f t="array" aca="1" ref="AK106" ca="1">Ver_flag_visit</f>
        <v/>
      </c>
      <c r="AL106" s="85" t="str">
        <f t="shared" ca="1" si="297"/>
        <v>Túnez</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4</v>
      </c>
      <c r="AT106" s="87">
        <f t="shared" ca="1" si="309"/>
        <v>0</v>
      </c>
      <c r="AU106" s="330">
        <f t="shared" ca="1" si="299"/>
        <v>1</v>
      </c>
      <c r="AV106" s="182" t="str">
        <f t="shared" ca="1" si="300"/>
        <v>Túnez</v>
      </c>
      <c r="AW106" s="215"/>
      <c r="AX106" s="170"/>
      <c r="AY106" s="276"/>
      <c r="AZ106" s="279" t="str">
        <f t="shared" ca="1" si="303"/>
        <v>1E - 3F</v>
      </c>
      <c r="BA106" s="176"/>
      <c r="BF106" t="str">
        <f t="shared" ca="1" si="304"/>
        <v>I</v>
      </c>
      <c r="BG106">
        <f t="shared" ca="1" si="305"/>
        <v>6</v>
      </c>
      <c r="BI106">
        <v>4</v>
      </c>
      <c r="BJ106" t="str">
        <f t="shared" ca="1" si="306"/>
        <v>F</v>
      </c>
    </row>
    <row r="107" spans="1:62" ht="16.149999999999999" customHeight="1">
      <c r="A107" s="16" t="s">
        <v>657</v>
      </c>
      <c r="B107" s="16" t="s">
        <v>736</v>
      </c>
      <c r="C107" s="16"/>
      <c r="D107" s="16" t="str">
        <f t="shared" ca="1" si="289"/>
        <v>Sudáfrica</v>
      </c>
      <c r="E107" s="16" t="s">
        <v>0</v>
      </c>
      <c r="F107" s="16" t="s">
        <v>733</v>
      </c>
      <c r="G107" s="16" t="s">
        <v>6</v>
      </c>
      <c r="H107" s="16">
        <f t="shared" ca="1" si="290"/>
        <v>12</v>
      </c>
      <c r="I107" s="16"/>
      <c r="J107" s="16">
        <v>79</v>
      </c>
      <c r="K107" s="16">
        <v>46203.75</v>
      </c>
      <c r="L107" s="16" t="s">
        <v>703</v>
      </c>
      <c r="M107" s="16" t="str">
        <f t="shared" ca="1" si="291"/>
        <v>Sudáfrica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6"/>
        <v>79</v>
      </c>
      <c r="AA107" s="88" t="str">
        <f t="shared" ca="1" si="292"/>
        <v>Sudáfrica</v>
      </c>
      <c r="AB107" s="89">
        <v>5</v>
      </c>
      <c r="AC107" s="92">
        <v>1</v>
      </c>
      <c r="AD107" s="92">
        <v>1</v>
      </c>
      <c r="AE107" s="89">
        <v>3</v>
      </c>
      <c r="AF107" s="91" t="str">
        <f t="shared" ca="1" si="293"/>
        <v>Costa de Marfil</v>
      </c>
      <c r="AG107" s="327">
        <f t="shared" ca="1" si="294"/>
        <v>1</v>
      </c>
      <c r="AH107" s="195">
        <v>79</v>
      </c>
      <c r="AI107" s="182">
        <v>6</v>
      </c>
      <c r="AJ107" s="42">
        <v>6</v>
      </c>
      <c r="AK107" s="602" t="str" cm="1">
        <f t="array" aca="1" ref="AK107" ca="1">Ver_flag_visit</f>
        <v/>
      </c>
      <c r="AL107" s="85" t="str">
        <f t="shared" ca="1" si="297"/>
        <v>Argelia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2</v>
      </c>
      <c r="AV107" s="182" t="str">
        <f ca="1">INDEX($BD$58:$BD$69,MATCH(AI107,$BM$58:$BM$69,0))</f>
        <v>Argelia</v>
      </c>
      <c r="AW107" s="215">
        <v>6</v>
      </c>
      <c r="AX107" s="170"/>
      <c r="AY107" s="276"/>
      <c r="AZ107" s="279" t="str">
        <f t="shared" ca="1" si="303"/>
        <v>1G - 3A</v>
      </c>
      <c r="BA107" s="176"/>
      <c r="BF107" t="str">
        <f t="shared" ca="1" si="304"/>
        <v>F</v>
      </c>
      <c r="BG107">
        <f t="shared" ca="1" si="305"/>
        <v>4</v>
      </c>
      <c r="BI107">
        <v>5</v>
      </c>
      <c r="BJ107" t="str">
        <f t="shared" ca="1" si="306"/>
        <v>G</v>
      </c>
    </row>
    <row r="108" spans="1:62" ht="16.149999999999999" customHeight="1">
      <c r="A108" s="16" t="s">
        <v>694</v>
      </c>
      <c r="B108" s="16" t="s">
        <v>737</v>
      </c>
      <c r="C108" s="16"/>
      <c r="D108" s="16" t="str">
        <f t="shared" ca="1" si="289"/>
        <v>Croacia</v>
      </c>
      <c r="E108" s="16" t="s">
        <v>247</v>
      </c>
      <c r="F108" s="16" t="s">
        <v>733</v>
      </c>
      <c r="G108" s="16" t="s">
        <v>447</v>
      </c>
      <c r="H108" s="16">
        <f t="shared" ca="1" si="290"/>
        <v>12</v>
      </c>
      <c r="I108" s="16"/>
      <c r="J108" s="16">
        <v>80</v>
      </c>
      <c r="K108" s="16">
        <v>46204.75</v>
      </c>
      <c r="L108" s="16" t="s">
        <v>704</v>
      </c>
      <c r="M108" s="16" t="str">
        <f t="shared" ca="1" si="291"/>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6"/>
        <v>80</v>
      </c>
      <c r="AA108" s="88" t="str">
        <f t="shared" ca="1" si="292"/>
        <v>Croacia</v>
      </c>
      <c r="AB108" s="89"/>
      <c r="AC108" s="92">
        <v>2</v>
      </c>
      <c r="AD108" s="92">
        <v>0</v>
      </c>
      <c r="AE108" s="89"/>
      <c r="AF108" s="91" t="str">
        <f t="shared" ca="1" si="293"/>
        <v>Senegal</v>
      </c>
      <c r="AG108" s="327">
        <f t="shared" ca="1" si="294"/>
        <v>1</v>
      </c>
      <c r="AH108" s="195">
        <v>80</v>
      </c>
      <c r="AI108" s="182">
        <v>7</v>
      </c>
      <c r="AJ108" s="42">
        <v>7</v>
      </c>
      <c r="AK108" s="602" t="str" cm="1">
        <f t="array" aca="1" ref="AK108" ca="1">Ver_flag_visit</f>
        <v/>
      </c>
      <c r="AL108" s="85" t="str">
        <f t="shared" ca="1" si="297"/>
        <v>Costa de Marfil</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5</v>
      </c>
      <c r="AT108" s="87">
        <f t="shared" ca="1" si="311"/>
        <v>-1</v>
      </c>
      <c r="AU108" s="330">
        <f t="shared" ca="1" si="299"/>
        <v>2</v>
      </c>
      <c r="AV108" s="182" t="str">
        <f t="shared" ca="1" si="300"/>
        <v>Costa de Marfil</v>
      </c>
      <c r="AW108" s="215">
        <v>7</v>
      </c>
      <c r="AX108" s="170"/>
      <c r="AY108" s="276"/>
      <c r="AZ108" s="279" t="str">
        <f t="shared" ca="1" si="303"/>
        <v>1I - 3G</v>
      </c>
      <c r="BA108" s="176"/>
      <c r="BF108" t="str">
        <f t="shared" ca="1" si="304"/>
        <v>J</v>
      </c>
      <c r="BG108">
        <f t="shared" ca="1" si="305"/>
        <v>7</v>
      </c>
      <c r="BI108">
        <v>6</v>
      </c>
      <c r="BJ108" t="str">
        <f t="shared" ca="1" si="306"/>
        <v>I</v>
      </c>
    </row>
    <row r="109" spans="1:62" ht="16.149999999999999"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str" cm="1">
        <f t="array" aca="1" ref="AK109" ca="1">Ver_flag_visit</f>
        <v/>
      </c>
      <c r="AL109" s="85" t="str">
        <f t="shared" ca="1" si="297"/>
        <v>Panamá</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6</v>
      </c>
      <c r="AT109" s="87">
        <f t="shared" ca="1" si="312"/>
        <v>-2</v>
      </c>
      <c r="AU109" s="330">
        <f t="shared" ca="1" si="299"/>
        <v>1</v>
      </c>
      <c r="AV109" s="182" t="str">
        <f t="shared" ca="1" si="300"/>
        <v>Panamá</v>
      </c>
      <c r="AW109" s="215"/>
      <c r="AX109" s="170"/>
      <c r="AY109" s="276"/>
      <c r="AZ109" s="279" t="str">
        <f t="shared" ca="1" si="303"/>
        <v>1K - 3L</v>
      </c>
      <c r="BA109" s="176"/>
      <c r="BF109" t="str">
        <f t="shared" ca="1" si="304"/>
        <v>E</v>
      </c>
      <c r="BG109">
        <f t="shared" ca="1" si="305"/>
        <v>3</v>
      </c>
      <c r="BI109">
        <v>7</v>
      </c>
      <c r="BJ109" t="str">
        <f t="shared" ca="1" si="306"/>
        <v>J</v>
      </c>
    </row>
    <row r="110" spans="1:62" ht="16.149999999999999"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v>4</v>
      </c>
      <c r="AC110" s="92">
        <v>1</v>
      </c>
      <c r="AD110" s="92">
        <v>1</v>
      </c>
      <c r="AE110" s="89">
        <v>2</v>
      </c>
      <c r="AF110" s="91" t="str">
        <f t="shared" ca="1" si="293"/>
        <v>Bosnia y Herzegovina</v>
      </c>
      <c r="AG110" s="327">
        <f t="shared" ca="1" si="294"/>
        <v>1</v>
      </c>
      <c r="AH110" s="195">
        <v>81</v>
      </c>
      <c r="AI110" s="182">
        <v>9</v>
      </c>
      <c r="AJ110" s="42">
        <v>9</v>
      </c>
      <c r="AK110" s="602" t="str" cm="1">
        <f t="array" aca="1" ref="AK110" ca="1">Ver_flag_visit</f>
        <v/>
      </c>
      <c r="AL110" s="85" t="str">
        <f t="shared" ca="1" si="297"/>
        <v>Uzbekistán</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6</v>
      </c>
      <c r="AT110" s="87">
        <f t="shared" ca="1" si="313"/>
        <v>-3</v>
      </c>
      <c r="AU110" s="330">
        <f t="shared" ca="1" si="299"/>
        <v>1</v>
      </c>
      <c r="AV110" s="182" t="str">
        <f t="shared" ca="1" si="300"/>
        <v>Uzbekistán</v>
      </c>
      <c r="AW110" s="215"/>
      <c r="AX110" s="170"/>
      <c r="AY110" s="276"/>
      <c r="AZ110" s="279" t="str">
        <f t="shared" ca="1" si="303"/>
        <v>1L - 3I</v>
      </c>
      <c r="BA110" s="176"/>
      <c r="BF110" t="str">
        <f t="shared" ca="1" si="304"/>
        <v>L</v>
      </c>
      <c r="BG110">
        <f t="shared" ca="1" si="305"/>
        <v>8</v>
      </c>
      <c r="BI110">
        <v>8</v>
      </c>
      <c r="BJ110" t="str">
        <f t="shared" ca="1" si="306"/>
        <v>L</v>
      </c>
    </row>
    <row r="111" spans="1:62" ht="16.149999999999999"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1</v>
      </c>
      <c r="AE111" s="89"/>
      <c r="AF111" s="91" t="str">
        <f t="shared" ca="1" si="293"/>
        <v>Argentina</v>
      </c>
      <c r="AG111" s="327">
        <f t="shared" ca="1" si="294"/>
        <v>1</v>
      </c>
      <c r="AH111" s="195">
        <v>84</v>
      </c>
      <c r="AI111" s="182">
        <v>10</v>
      </c>
      <c r="AJ111" s="42">
        <v>10</v>
      </c>
      <c r="AK111" s="602" t="str" cm="1">
        <f t="array" aca="1" ref="AK111" ca="1">Ver_flag_visit</f>
        <v/>
      </c>
      <c r="AL111" s="85" t="str">
        <f t="shared" ca="1" si="297"/>
        <v>Arabia Saudita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1</v>
      </c>
      <c r="AS111" s="86">
        <f t="shared" ca="1" si="314"/>
        <v>4</v>
      </c>
      <c r="AT111" s="87">
        <f t="shared" ca="1" si="314"/>
        <v>-3</v>
      </c>
      <c r="AU111" s="330">
        <f t="shared" ca="1" si="299"/>
        <v>1</v>
      </c>
      <c r="AV111" s="182" t="str">
        <f t="shared" ca="1" si="300"/>
        <v>Arabia Saudita</v>
      </c>
      <c r="AW111" s="215"/>
      <c r="AX111" s="170"/>
      <c r="AY111" s="275"/>
      <c r="AZ111" s="275"/>
      <c r="BA111" s="176"/>
      <c r="BI111" t="s">
        <v>87</v>
      </c>
    </row>
    <row r="112" spans="1:62" ht="16.149999999999999" customHeight="1">
      <c r="A112" s="16" t="s">
        <v>682</v>
      </c>
      <c r="B112" s="16" t="s">
        <v>689</v>
      </c>
      <c r="C112" s="16"/>
      <c r="D112" s="16" t="str">
        <f t="shared" ca="1" si="289"/>
        <v>Inglaterra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Argentina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2</v>
      </c>
      <c r="AE112" s="89"/>
      <c r="AF112" s="91" t="str">
        <f t="shared" ca="1" si="293"/>
        <v>Inglaterra</v>
      </c>
      <c r="AG112" s="327">
        <f t="shared" ca="1" si="294"/>
        <v>1</v>
      </c>
      <c r="AH112" s="195">
        <v>83</v>
      </c>
      <c r="AI112" s="182">
        <v>11</v>
      </c>
      <c r="AJ112" s="42">
        <v>11</v>
      </c>
      <c r="AK112" s="602" t="str" cm="1">
        <f t="array" aca="1" ref="AK112" ca="1">Ver_flag_visit</f>
        <v/>
      </c>
      <c r="AL112" s="85" t="str">
        <f t="shared" ca="1" si="297"/>
        <v>Haití</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4</v>
      </c>
      <c r="AS112" s="86">
        <f t="shared" ca="1" si="315"/>
        <v>8</v>
      </c>
      <c r="AT112" s="87">
        <f t="shared" ca="1" si="315"/>
        <v>-4</v>
      </c>
      <c r="AU112" s="330">
        <f t="shared" ca="1" si="299"/>
        <v>1</v>
      </c>
      <c r="AV112" s="182" t="str">
        <f t="shared" ca="1" si="300"/>
        <v>Haití</v>
      </c>
      <c r="AW112" s="215"/>
      <c r="AX112" s="170"/>
      <c r="AY112" s="275"/>
      <c r="AZ112" s="275"/>
      <c r="BA112" s="176"/>
      <c r="BI112" t="str">
        <f ca="1">IFERROR(CONCATENATE(BJ103,BJ104,BJ105,BJ106,BJ107,BJ108,BJ109,BJ110),"¿A/B/C/D/E/F/G/H/I/J/K/L?")</f>
        <v>ABEFGIJL</v>
      </c>
    </row>
    <row r="113" spans="1:59" ht="16.149999999999999" customHeight="1" thickBot="1">
      <c r="A113" s="16" t="s">
        <v>660</v>
      </c>
      <c r="B113" s="16" t="s">
        <v>740</v>
      </c>
      <c r="C113" s="16"/>
      <c r="D113" s="16" t="str">
        <f t="shared" ca="1" si="289"/>
        <v>Argelia</v>
      </c>
      <c r="E113" s="16" t="s">
        <v>1</v>
      </c>
      <c r="F113" s="16" t="s">
        <v>733</v>
      </c>
      <c r="G113" s="16" t="s">
        <v>733</v>
      </c>
      <c r="H113" s="16">
        <f ca="1">+IF($AJ$99&lt;&gt;144,SUM(H101:H112),$AJ$99)</f>
        <v>144</v>
      </c>
      <c r="I113" s="16"/>
      <c r="J113" s="16">
        <v>85</v>
      </c>
      <c r="K113" s="16">
        <v>46205.75</v>
      </c>
      <c r="L113" s="16" t="s">
        <v>709</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Canadá</v>
      </c>
      <c r="AB113" s="89">
        <v>3</v>
      </c>
      <c r="AC113" s="92">
        <v>2</v>
      </c>
      <c r="AD113" s="92">
        <v>2</v>
      </c>
      <c r="AE113" s="90">
        <v>4</v>
      </c>
      <c r="AF113" s="91" t="str">
        <f t="shared" ca="1" si="293"/>
        <v>Argelia</v>
      </c>
      <c r="AG113" s="327">
        <f t="shared" ca="1" si="294"/>
        <v>1</v>
      </c>
      <c r="AH113" s="195">
        <v>85</v>
      </c>
      <c r="AI113" s="182">
        <v>12</v>
      </c>
      <c r="AJ113" s="44">
        <v>12</v>
      </c>
      <c r="AK113" s="604" t="str" cm="1">
        <f t="array" aca="1" ref="AK113" ca="1">Ver_flag_visit</f>
        <v/>
      </c>
      <c r="AL113" s="45" t="str">
        <f t="shared" ca="1" si="297"/>
        <v>Estados Unidos</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4</v>
      </c>
      <c r="AS113" s="47">
        <f t="shared" ca="1" si="316"/>
        <v>6</v>
      </c>
      <c r="AT113" s="48">
        <f t="shared" ca="1" si="316"/>
        <v>-2</v>
      </c>
      <c r="AU113" s="330">
        <f t="shared" ca="1" si="299"/>
        <v>1</v>
      </c>
      <c r="AV113" s="182" t="str">
        <f t="shared" ca="1" si="300"/>
        <v>Estados Unidos</v>
      </c>
      <c r="AW113" s="215"/>
      <c r="AX113" s="170"/>
      <c r="AY113" s="154"/>
      <c r="AZ113" s="155"/>
      <c r="BA113" s="176"/>
    </row>
    <row r="114" spans="1:59" ht="16.149999999999999" customHeight="1">
      <c r="A114" s="16" t="s">
        <v>688</v>
      </c>
      <c r="B114" s="16" t="s">
        <v>683</v>
      </c>
      <c r="C114" s="16"/>
      <c r="D114" s="16" t="str">
        <f t="shared" ca="1" si="289"/>
        <v>Irán</v>
      </c>
      <c r="E114" s="16" t="s">
        <v>5</v>
      </c>
      <c r="F114" s="16" t="s">
        <v>447</v>
      </c>
      <c r="G114" s="16"/>
      <c r="H114" s="16"/>
      <c r="I114" s="16"/>
      <c r="J114" s="16">
        <v>86</v>
      </c>
      <c r="K114" s="16">
        <v>46206.75</v>
      </c>
      <c r="L114" s="16" t="s">
        <v>710</v>
      </c>
      <c r="M114" s="16" t="str">
        <f t="shared" ca="1" si="291"/>
        <v>Austria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Paraguay</v>
      </c>
      <c r="AB114" s="89"/>
      <c r="AC114" s="92">
        <v>1</v>
      </c>
      <c r="AD114" s="92">
        <v>2</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149999999999999" customHeight="1">
      <c r="A115" s="16" t="s">
        <v>691</v>
      </c>
      <c r="B115" s="16" t="s">
        <v>741</v>
      </c>
      <c r="C115" s="16"/>
      <c r="D115" s="16" t="str">
        <f t="shared" ca="1" si="289"/>
        <v>Uruguay</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6"/>
      <c r="P115" s="16"/>
      <c r="Q115" s="16"/>
      <c r="R115" s="16"/>
      <c r="S115" s="16"/>
      <c r="T115" s="16"/>
      <c r="U115" s="16"/>
      <c r="V115" s="17"/>
      <c r="W115" s="658"/>
      <c r="X115" s="24">
        <f ca="1">Horarios!C115</f>
        <v>46207</v>
      </c>
      <c r="Y115" s="25">
        <f ca="1">Horarios!C115</f>
        <v>46207</v>
      </c>
      <c r="Z115" s="280">
        <f t="shared" si="296"/>
        <v>86</v>
      </c>
      <c r="AA115" s="88" t="str">
        <f t="shared" ca="1" si="292"/>
        <v>Austria</v>
      </c>
      <c r="AB115" s="89"/>
      <c r="AC115" s="92">
        <v>0</v>
      </c>
      <c r="AD115" s="92">
        <v>2</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149999999999999"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Panamá</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149999999999999"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3E</v>
      </c>
    </row>
    <row r="118" spans="1:59" ht="16.149999999999999"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3J</v>
      </c>
    </row>
    <row r="119" spans="1:59" ht="16.149999999999999"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3B</v>
      </c>
    </row>
    <row r="120" spans="1:59" ht="16.149999999999999"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Brasil</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c r="AC120" s="96">
        <v>1</v>
      </c>
      <c r="AD120" s="96">
        <v>3</v>
      </c>
      <c r="AE120" s="89"/>
      <c r="AF120" s="91" t="str">
        <f t="shared" ref="AF120:AF127" ca="1" si="321">+INDEX($N$101:$N$147,MATCH(AH120,$J$101:$J$147,0))</f>
        <v>Brasil</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3F</v>
      </c>
    </row>
    <row r="121" spans="1:59" ht="16.149999999999999"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México</v>
      </c>
      <c r="N121" s="16" t="str">
        <f t="shared" ca="1" si="318"/>
        <v>Brasil</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3A</v>
      </c>
    </row>
    <row r="122" spans="1:59" ht="16.149999999999999" customHeight="1">
      <c r="A122" s="16" t="s">
        <v>746</v>
      </c>
      <c r="B122" s="16" t="s">
        <v>747</v>
      </c>
      <c r="C122" s="16"/>
      <c r="D122" s="16" t="str">
        <f t="shared" ca="1" si="317"/>
        <v>Noruega</v>
      </c>
      <c r="E122" s="16">
        <v>76</v>
      </c>
      <c r="F122" s="16">
        <v>78</v>
      </c>
      <c r="G122" s="16"/>
      <c r="H122" s="16"/>
      <c r="I122" s="16"/>
      <c r="J122" s="16">
        <v>91</v>
      </c>
      <c r="K122" s="16">
        <v>46208.75</v>
      </c>
      <c r="L122" s="16" t="s">
        <v>715</v>
      </c>
      <c r="M122" s="16" t="str">
        <f t="shared" ca="1" si="318"/>
        <v>Países Bajos</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Países Bajos</v>
      </c>
      <c r="AB122" s="89"/>
      <c r="AC122" s="97">
        <v>1</v>
      </c>
      <c r="AD122" s="97">
        <v>2</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3G</v>
      </c>
    </row>
    <row r="123" spans="1:59" ht="16.149999999999999" customHeight="1">
      <c r="A123" s="16" t="s">
        <v>748</v>
      </c>
      <c r="B123" s="16" t="s">
        <v>749</v>
      </c>
      <c r="C123" s="16"/>
      <c r="D123" s="16" t="str">
        <f t="shared" ca="1" si="317"/>
        <v>Croacia</v>
      </c>
      <c r="E123" s="16">
        <v>79</v>
      </c>
      <c r="F123" s="16">
        <v>80</v>
      </c>
      <c r="G123" s="16"/>
      <c r="H123" s="16"/>
      <c r="I123" s="16"/>
      <c r="J123" s="16">
        <v>92</v>
      </c>
      <c r="K123" s="16">
        <v>46208.875</v>
      </c>
      <c r="L123" s="16" t="s">
        <v>716</v>
      </c>
      <c r="M123" s="16" t="str">
        <f t="shared" ca="1" si="318"/>
        <v>Sudáfrica</v>
      </c>
      <c r="N123" s="16" t="str">
        <f t="shared" ca="1" si="318"/>
        <v>Croacia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Sudáfrica</v>
      </c>
      <c r="AB123" s="89"/>
      <c r="AC123" s="97">
        <v>0</v>
      </c>
      <c r="AD123" s="97">
        <v>1</v>
      </c>
      <c r="AE123" s="89"/>
      <c r="AF123" s="91" t="str">
        <f t="shared" ca="1" si="321"/>
        <v>Croacia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3L</v>
      </c>
    </row>
    <row r="124" spans="1:59" ht="16.149999999999999"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Inglaterra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Inglaterra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3I</v>
      </c>
    </row>
    <row r="125" spans="1:59" ht="16.149999999999999"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149999999999999" customHeight="1">
      <c r="A126" s="16" t="s">
        <v>754</v>
      </c>
      <c r="B126" s="16" t="s">
        <v>755</v>
      </c>
      <c r="C126" s="16"/>
      <c r="D126" s="16" t="str">
        <f t="shared" ca="1" si="317"/>
        <v>Uruguay</v>
      </c>
      <c r="E126" s="16">
        <v>86</v>
      </c>
      <c r="F126" s="16">
        <v>88</v>
      </c>
      <c r="G126" s="16"/>
      <c r="H126" s="16"/>
      <c r="I126" s="16"/>
      <c r="J126" s="16">
        <v>95</v>
      </c>
      <c r="K126" s="16">
        <v>46210.75</v>
      </c>
      <c r="L126" s="16" t="s">
        <v>719</v>
      </c>
      <c r="M126" s="16" t="str">
        <f t="shared" ca="1" si="318"/>
        <v>Uruguay</v>
      </c>
      <c r="N126" s="16" t="str">
        <f t="shared" ca="1" si="318"/>
        <v>Irán</v>
      </c>
      <c r="O126" s="16"/>
      <c r="P126" s="16"/>
      <c r="Q126" s="16"/>
      <c r="R126" s="16"/>
      <c r="S126" s="16"/>
      <c r="T126" s="16"/>
      <c r="U126" s="16"/>
      <c r="V126" s="17"/>
      <c r="W126" s="660"/>
      <c r="X126" s="24">
        <f ca="1">Horarios!C126</f>
        <v>46210.75</v>
      </c>
      <c r="Y126" s="25">
        <f ca="1">Horarios!C126</f>
        <v>46210.75</v>
      </c>
      <c r="Z126" s="280">
        <f t="shared" si="319"/>
        <v>95</v>
      </c>
      <c r="AA126" s="88" t="str">
        <f t="shared" ca="1" si="320"/>
        <v>Uruguay</v>
      </c>
      <c r="AB126" s="89"/>
      <c r="AC126" s="99">
        <v>1</v>
      </c>
      <c r="AD126" s="99">
        <v>0</v>
      </c>
      <c r="AE126" s="89"/>
      <c r="AF126" s="91" t="str">
        <f t="shared" ca="1" si="321"/>
        <v>Irán</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149999999999999"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Argelia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Argelia</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149999999999999"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149999999999999"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149999999999999"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149999999999999"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Brasil</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Brasil</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149999999999999"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3</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149999999999999" customHeight="1">
      <c r="A133" s="16" t="s">
        <v>762</v>
      </c>
      <c r="B133" s="16" t="s">
        <v>763</v>
      </c>
      <c r="C133" s="16"/>
      <c r="D133" s="16" t="str">
        <f ca="1">IF(AND(OR(AC133="",AD133="")),"W"&amp;AH133,IF(AC133&gt;AD133,AA133,IF(AC133&lt;AD133,AF133,IF(AND(AC133=AD133,AB133=AE133),"W"&amp;AH133,IF(AND(AC133=AD133,OR(AB133="",AE133="")),"W"&amp;AH133,IF(AND(AC133=AD133,AB133&gt;AE133),AA133,AF133))))))</f>
        <v>Croacia</v>
      </c>
      <c r="E133" s="16">
        <v>91</v>
      </c>
      <c r="F133" s="16">
        <v>92</v>
      </c>
      <c r="G133" s="16"/>
      <c r="H133" s="16"/>
      <c r="I133" s="16"/>
      <c r="J133" s="16">
        <v>99</v>
      </c>
      <c r="K133" s="16">
        <v>46214.75</v>
      </c>
      <c r="L133" s="16" t="s">
        <v>723</v>
      </c>
      <c r="M133" s="16" t="str">
        <f t="shared" ca="1" si="323"/>
        <v>Noruega</v>
      </c>
      <c r="N133" s="16" t="str">
        <f t="shared" ca="1" si="323"/>
        <v>Croacia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Noruega</v>
      </c>
      <c r="AB133" s="89"/>
      <c r="AC133" s="99">
        <v>0</v>
      </c>
      <c r="AD133" s="99">
        <v>1</v>
      </c>
      <c r="AE133" s="89"/>
      <c r="AF133" s="116" t="str">
        <f ca="1">+INDEX($N$101:$N$147,MATCH(AH133,$J$101:$J$147,0))</f>
        <v>Croacia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149999999999999"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Uruguay</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Uruguay</v>
      </c>
      <c r="AB134" s="94"/>
      <c r="AC134" s="100">
        <v>0</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149999999999999"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149999999999999"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149999999999999"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149999999999999"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149999999999999"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Croacia</v>
      </c>
      <c r="I139" s="16"/>
      <c r="J139" s="16">
        <v>102</v>
      </c>
      <c r="K139" s="16">
        <v>46218.875</v>
      </c>
      <c r="L139" s="16" t="s">
        <v>726</v>
      </c>
      <c r="M139" s="16" t="str">
        <f ca="1">+INDEX($D$101:$D$147,MATCH(E139,$AH$101:$AH$147,0))</f>
        <v>Croacia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Croacia</v>
      </c>
      <c r="AB139" s="140"/>
      <c r="AC139" s="100">
        <v>1</v>
      </c>
      <c r="AD139" s="100">
        <v>3</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149999999999999"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149999999999999"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149999999999999"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149999999999999"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3</v>
      </c>
      <c r="AD143" s="105">
        <v>0</v>
      </c>
      <c r="AE143" s="216"/>
      <c r="AF143" s="106" t="str">
        <f ca="1">IF(AND(OR(AC139="",AD139="")),"L102",IF(AC139&gt;AD139,AF139,IF(AC139&lt;AD139,AA139,IF(AND(AC139=AD139,AB139=AE139),"L102",IF(AND(AC139=AD139,OR(AB139="",AE139="")),"L102",IF(AND(AC139=AD139,AB139&gt;AE139),AF139,AA139))))))</f>
        <v>Croacia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149999999999999"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149999999999999"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149999999999999"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149999999999999"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3</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149999999999999"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149999999999999"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149999999999999"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149999999999999"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149999999999999"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149999999999999"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149999999999999"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149999999999999"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149999999999999"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149999999999999"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149999999999999"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149999999999999"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149999999999999"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89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1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38" t="str">
        <f>+Idiomas!D12</f>
        <v>Donar</v>
      </c>
      <c r="AP162" s="639"/>
      <c r="AQ162" s="145"/>
      <c r="AR162" s="145"/>
      <c r="AS162" s="145"/>
      <c r="AT162" s="145"/>
      <c r="AU162" s="332"/>
      <c r="AV162" s="193"/>
      <c r="AW162" s="155"/>
      <c r="AX162" s="154"/>
      <c r="AY162" s="156"/>
      <c r="AZ162" s="157"/>
      <c r="BA162" s="176"/>
    </row>
    <row r="163" spans="1:53" ht="28.1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149999999999999"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149999999999999"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163" zoomScaleNormal="100" workbookViewId="0">
      <selection activeCell="C5" sqref="C5:C258"/>
    </sheetView>
  </sheetViews>
  <sheetFormatPr baseColWidth="10" defaultColWidth="0" defaultRowHeight="15"/>
  <cols>
    <col min="1" max="1" width="10.7109375" style="13" customWidth="1"/>
    <col min="2" max="2" width="29.42578125" customWidth="1"/>
    <col min="3" max="3" width="35" customWidth="1"/>
    <col min="4" max="4" width="12.7109375" style="369" customWidth="1"/>
    <col min="5" max="8" width="10.7109375" style="369" customWidth="1"/>
    <col min="9" max="9" width="3.140625" style="369" customWidth="1"/>
    <col min="10" max="12" width="10.7109375" style="369" customWidth="1"/>
    <col min="13" max="13" width="3.7109375" style="369" customWidth="1"/>
    <col min="14" max="14" width="4.7109375" style="369" customWidth="1"/>
    <col min="15" max="15" width="4" customWidth="1"/>
    <col min="16" max="16" width="4.7109375" customWidth="1"/>
    <col min="17" max="16384" width="10.7109375" style="1" hidden="1"/>
  </cols>
  <sheetData>
    <row r="1" spans="1:14" ht="19.899999999999999"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899999999999999" customHeight="1" thickBot="1">
      <c r="A2" s="290"/>
      <c r="B2" s="291"/>
      <c r="C2" s="291"/>
      <c r="D2" s="368"/>
      <c r="E2" s="701"/>
      <c r="F2" s="701"/>
      <c r="G2" s="701"/>
      <c r="H2" s="701"/>
      <c r="I2" s="701"/>
      <c r="J2" s="701"/>
      <c r="K2" s="701"/>
      <c r="L2" s="701"/>
      <c r="M2" s="701"/>
      <c r="N2" s="701"/>
    </row>
    <row r="3" spans="1:14" ht="34.9"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149999999999999" customHeight="1">
      <c r="A5" s="353"/>
      <c r="B5" s="354" t="str">
        <f>Idiomas!D125</f>
        <v>FASE DE GRUPOS</v>
      </c>
      <c r="C5" s="346" t="str">
        <f>Home!C10</f>
        <v>Dudu</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2|0-2</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2|1-4</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X|0-0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2|1-2</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1|3-2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1|6-0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2|1-2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2|1-3</v>
      </c>
      <c r="D17" s="697"/>
      <c r="E17" s="370"/>
      <c r="F17" s="370"/>
      <c r="G17" s="370"/>
      <c r="H17" s="370"/>
      <c r="I17" s="381"/>
      <c r="J17" s="370"/>
      <c r="K17" s="370"/>
      <c r="L17" s="370"/>
      <c r="M17" s="379"/>
      <c r="N17" s="377"/>
    </row>
    <row r="18" spans="1:14" ht="15" customHeight="1">
      <c r="A18" s="355" t="s">
        <v>521</v>
      </c>
      <c r="B18" s="356" t="str">
        <f ca="1">CONCATENATE(WORLDCUP!AA52,"-",WORLDCUP!AF52)</f>
        <v>Bélgica-Egipto</v>
      </c>
      <c r="C18" s="349" t="str">
        <f>CONCATENATE(IF(WORLDCUP!AC52&gt;WORLDCUP!AD52,1,IF(WORLDCUP!AC52&lt;WORLDCUP!AD52,2,IF(AND(WORLDCUP!AC52=WORLDCUP!AD52,WORLDCUP!AC52&lt;&gt;"",WORLDCUP!AD52&lt;&gt;""),"X",0))),"|",WORLDCUP!AC52,"-",WORLDCUP!AD52)</f>
        <v>1|2-0</v>
      </c>
      <c r="D18" s="697"/>
      <c r="E18" s="370"/>
      <c r="F18" s="370"/>
      <c r="G18" s="370"/>
      <c r="H18" s="370"/>
      <c r="I18" s="381"/>
      <c r="J18" s="370"/>
      <c r="K18" s="370"/>
      <c r="L18" s="370"/>
      <c r="M18" s="379"/>
      <c r="N18" s="377"/>
    </row>
    <row r="19" spans="1:14" ht="15" customHeight="1">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1|4-0</v>
      </c>
      <c r="D19" s="697"/>
      <c r="E19" s="370"/>
      <c r="F19" s="370"/>
      <c r="G19" s="370"/>
      <c r="H19" s="370"/>
      <c r="I19" s="381"/>
      <c r="J19" s="370"/>
      <c r="K19" s="370"/>
      <c r="L19" s="370"/>
      <c r="M19" s="379"/>
      <c r="N19" s="377"/>
    </row>
    <row r="20" spans="1:14" ht="15" customHeight="1">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X|2-2</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1|3-2</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1|2-1</v>
      </c>
      <c r="D25" s="697"/>
      <c r="E25" s="370"/>
      <c r="F25" s="370"/>
      <c r="G25" s="370"/>
      <c r="H25" s="370"/>
      <c r="I25" s="381"/>
      <c r="J25" s="370"/>
      <c r="K25" s="370"/>
      <c r="L25" s="370"/>
      <c r="M25" s="379"/>
      <c r="N25" s="377"/>
    </row>
    <row r="26" spans="1:14" ht="15" customHeight="1">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2|1-2</v>
      </c>
      <c r="D28" s="697"/>
      <c r="E28" s="370"/>
      <c r="F28" s="370"/>
      <c r="G28" s="370"/>
      <c r="H28" s="370"/>
      <c r="I28" s="381"/>
      <c r="J28" s="370"/>
      <c r="K28" s="370"/>
      <c r="L28" s="370"/>
      <c r="M28" s="379"/>
      <c r="N28" s="377"/>
    </row>
    <row r="29" spans="1:14" ht="15" customHeight="1">
      <c r="A29" s="38" t="s">
        <v>1210</v>
      </c>
      <c r="B29" s="357" t="str">
        <f ca="1">CONCATENATE(WORLDCUP!AA93,"-",WORLDCUP!AF93)</f>
        <v>Ghana-Panamá</v>
      </c>
      <c r="C29" s="349" t="str">
        <f>CONCATENATE(IF(WORLDCUP!AC93&gt;WORLDCUP!AD93,1,IF(WORLDCUP!AC93&lt;WORLDCUP!AD93,2,IF(AND(WORLDCUP!AC93=WORLDCUP!AD93,WORLDCUP!AC93&lt;&gt;"",WORLDCUP!AD93&lt;&gt;""),"X",0))),"|",WORLDCUP!AC93,"-",WORLDCUP!AD93)</f>
        <v>2|1-2</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X|2-2</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1|1-0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522</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2|1-2</v>
      </c>
      <c r="D43" s="699"/>
      <c r="E43" s="370"/>
      <c r="F43" s="370"/>
      <c r="G43" s="370"/>
      <c r="H43" s="370"/>
      <c r="I43" s="381"/>
      <c r="J43" s="370"/>
      <c r="K43" s="370"/>
      <c r="L43" s="370"/>
      <c r="M43" s="379"/>
      <c r="N43" s="377"/>
    </row>
    <row r="44" spans="1:14" ht="15" customHeight="1">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1|1-0</v>
      </c>
      <c r="D44" s="699"/>
      <c r="E44" s="370"/>
      <c r="F44" s="370"/>
      <c r="G44" s="370"/>
      <c r="H44" s="370"/>
      <c r="I44" s="381"/>
      <c r="J44" s="370"/>
      <c r="K44" s="370"/>
      <c r="L44" s="370"/>
      <c r="M44" s="379"/>
      <c r="N44" s="377"/>
    </row>
    <row r="45" spans="1:14" ht="15" customHeight="1">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1|1-0</v>
      </c>
      <c r="D45" s="699"/>
      <c r="E45" s="370"/>
      <c r="F45" s="370"/>
      <c r="G45" s="370"/>
      <c r="H45" s="370"/>
      <c r="I45" s="381"/>
      <c r="J45" s="370"/>
      <c r="K45" s="370"/>
      <c r="L45" s="370"/>
      <c r="M45" s="379"/>
      <c r="N45" s="377"/>
    </row>
    <row r="46" spans="1:14" ht="15" customHeight="1">
      <c r="A46" s="355" t="s">
        <v>525</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525</v>
      </c>
      <c r="B47" s="356" t="str">
        <f ca="1">CONCATENATE(WORLDCUP!AA71,"-",WORLDCUP!AF71)</f>
        <v>Noruega-Senegal</v>
      </c>
      <c r="C47" s="349" t="str">
        <f>CONCATENATE(IF(WORLDCUP!AC71&gt;WORLDCUP!AD71,1,IF(WORLDCUP!AC71&lt;WORLDCUP!AD71,2,IF(AND(WORLDCUP!AC71=WORLDCUP!AD71,WORLDCUP!AC71&lt;&gt;"",WORLDCUP!AD71&lt;&gt;""),"X",0))),"|",WORLDCUP!AC71,"-",WORLDCUP!AD71)</f>
        <v>X|2-2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2|0-3</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1|3-1</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c r="A53" s="38" t="s">
        <v>1211</v>
      </c>
      <c r="B53" s="357" t="str">
        <f ca="1">CONCATENATE(WORLDCUP!AA95,"-",WORLDCUP!AF95)</f>
        <v>Panamá-Croacia</v>
      </c>
      <c r="C53" s="349" t="str">
        <f>CONCATENATE(IF(WORLDCUP!AC95&gt;WORLDCUP!AD95,1,IF(WORLDCUP!AC95&lt;WORLDCUP!AD95,2,IF(AND(WORLDCUP!AC95=WORLDCUP!AD95,WORLDCUP!AC95&lt;&gt;"",WORLDCUP!AD95&lt;&gt;""),"X",0))),"|",WORLDCUP!AC95,"-",WORLDCUP!AD95)</f>
        <v>2|1-3</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X|1-1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2|0-1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2|0-1</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2|0-3</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X|4-4</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2|0-1</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2|1-2</v>
      </c>
      <c r="D75" s="693"/>
      <c r="E75" s="370"/>
      <c r="F75" s="370"/>
      <c r="G75" s="370"/>
      <c r="H75" s="370"/>
      <c r="I75" s="381"/>
      <c r="J75" s="370"/>
      <c r="K75" s="370"/>
      <c r="L75" s="370"/>
      <c r="M75" s="379"/>
      <c r="N75" s="377"/>
    </row>
    <row r="76" spans="1:14" ht="15" customHeight="1">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1212</v>
      </c>
      <c r="B77" s="357" t="str">
        <f ca="1">CONCATENATE(WORLDCUP!AA97,"-",WORLDCUP!AF97)</f>
        <v>Croacia-Ghana</v>
      </c>
      <c r="C77" s="349" t="str">
        <f>CONCATENATE(IF(WORLDCUP!AC97&gt;WORLDCUP!AD97,1,IF(WORLDCUP!AC97&lt;WORLDCUP!AD97,2,IF(AND(WORLDCUP!AC97=WORLDCUP!AD97,WORLDCUP!AC97&lt;&gt;"",WORLDCUP!AD97&lt;&gt;""),"X",0))),"|",WORLDCUP!AC97,"-",WORLDCUP!AD97)</f>
        <v>1|4-0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14999999999999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Sudáfrica</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México</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Corea del Sur</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Canadá</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Marruecos</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Brasil</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Haití</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Escocia</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Paraguay</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Estados Unidos</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Japón</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Países Bajos</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Túnez</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Suecia</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Austria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Argentina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Croacia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Inglaterra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Panamá</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Ghana</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14999999999999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México</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Marruecos</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Japón</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Sudáfrica</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Croacia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Canadá</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Paraguay</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Austria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Suiza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Países Bajos</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Túnez</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Brasil</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Egipto</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Costa de Marfil</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Senegal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Argentina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Inglaterra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Panamá</v>
      </c>
      <c r="D161" s="694"/>
      <c r="E161" s="372"/>
      <c r="F161" s="372"/>
      <c r="G161" s="372"/>
      <c r="H161" s="372"/>
      <c r="I161" s="382"/>
      <c r="J161" s="383"/>
      <c r="K161" s="372"/>
      <c r="L161" s="372"/>
      <c r="M161" s="384"/>
      <c r="N161" s="377"/>
    </row>
    <row r="162" spans="1:14" ht="19.899999999999999"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México-Suiza</v>
      </c>
      <c r="C164" s="349" t="str">
        <f ca="1">CONCATENATE(WORLDCUP!AA101,"-",WORLDCUP!AF101,"·",IF(WORLDCUP!AC101&gt;WORLDCUP!AD101,1,IF(WORLDCUP!AC101&lt;WORLDCUP!AD101,2,IF(AND(WORLDCUP!AC101=WORLDCUP!AD101,WORLDCUP!AC101&lt;&gt;"",WORLDCUP!AD101&lt;&gt;""),"X",0))),"|",WORLDCUP!AC101,"-",WORLDCUP!AD101)</f>
        <v>México-Suiza·1|2-1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Marruecos-Países Bajos</v>
      </c>
      <c r="C165" s="349" t="str">
        <f ca="1">CONCATENATE(WORLDCUP!AA102,"-",WORLDCUP!AF102,"·",IF(WORLDCUP!AC102&gt;WORLDCUP!AD102,1,IF(WORLDCUP!AC102&lt;WORLDCUP!AD102,2,IF(AND(WORLDCUP!AC102=WORLDCUP!AD102,WORLDCUP!AC102&lt;&gt;"",WORLDCUP!AD102&lt;&gt;""),"X",0))),"|",WORLDCUP!AC102,"-",WORLDCUP!AD102)</f>
        <v>Marruecos-Países Bajos·2|1-3</v>
      </c>
      <c r="D165" s="692"/>
      <c r="E165" s="711"/>
      <c r="F165" s="711"/>
      <c r="G165" s="711"/>
      <c r="H165" s="711"/>
      <c r="I165" s="352"/>
      <c r="J165" s="370"/>
      <c r="K165" s="370"/>
      <c r="L165" s="370"/>
      <c r="M165" s="386"/>
      <c r="N165" s="377"/>
    </row>
    <row r="166" spans="1:14" ht="15" customHeight="1">
      <c r="A166" s="690"/>
      <c r="B166" s="360" t="str">
        <f ca="1">CONCATENATE(WORLDCUP!AA103,"-",WORLDCUP!AF103)</f>
        <v>Alemania-Túnez</v>
      </c>
      <c r="C166" s="349" t="str">
        <f ca="1">CONCATENATE(WORLDCUP!AA103,"-",WORLDCUP!AF103,"·",IF(WORLDCUP!AC103&gt;WORLDCUP!AD103,1,IF(WORLDCUP!AC103&lt;WORLDCUP!AD103,2,IF(AND(WORLDCUP!AC103=WORLDCUP!AD103,WORLDCUP!AC103&lt;&gt;"",WORLDCUP!AD103&lt;&gt;""),"X",0))),"|",WORLDCUP!AC103,"-",WORLDCUP!AD103)</f>
        <v>Alemania-Túnez·1|3-0</v>
      </c>
      <c r="D166" s="692"/>
      <c r="E166" s="711"/>
      <c r="F166" s="711"/>
      <c r="G166" s="711"/>
      <c r="H166" s="711"/>
      <c r="I166" s="352"/>
      <c r="J166" s="370"/>
      <c r="K166" s="370"/>
      <c r="L166" s="370"/>
      <c r="M166" s="386"/>
      <c r="N166" s="377"/>
    </row>
    <row r="167" spans="1:14" ht="15" customHeight="1">
      <c r="A167" s="690"/>
      <c r="B167" s="360" t="str">
        <f ca="1">CONCATENATE(WORLDCUP!AA104,"-",WORLDCUP!AF104)</f>
        <v>Japón-Brasil</v>
      </c>
      <c r="C167" s="349" t="str">
        <f ca="1">CONCATENATE(WORLDCUP!AA104,"-",WORLDCUP!AF104,"·",IF(WORLDCUP!AC104&gt;WORLDCUP!AD104,1,IF(WORLDCUP!AC104&lt;WORLDCUP!AD104,2,IF(AND(WORLDCUP!AC104=WORLDCUP!AD104,WORLDCUP!AC104&lt;&gt;"",WORLDCUP!AD104&lt;&gt;""),"X",0))),"|",WORLDCUP!AC104,"-",WORLDCUP!AD104)</f>
        <v>Japón-Brasil·X|2-2</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Ecuador-Noruega·2|0-1</v>
      </c>
      <c r="D168" s="692"/>
      <c r="E168" s="370"/>
      <c r="F168" s="370"/>
      <c r="G168" s="370"/>
      <c r="H168" s="370"/>
      <c r="I168" s="352"/>
      <c r="J168" s="370"/>
      <c r="K168" s="370"/>
      <c r="L168" s="370"/>
      <c r="M168" s="386"/>
      <c r="N168" s="377"/>
    </row>
    <row r="169" spans="1:14" ht="15" customHeight="1">
      <c r="A169" s="690"/>
      <c r="B169" s="360" t="str">
        <f ca="1">CONCATENATE(WORLDCUP!AA106,"-",WORLDCUP!AF106)</f>
        <v>Francia-Egipto</v>
      </c>
      <c r="C169" s="349" t="str">
        <f ca="1">CONCATENATE(WORLDCUP!AA106,"-",WORLDCUP!AF106,"·",IF(WORLDCUP!AC106&gt;WORLDCUP!AD106,1,IF(WORLDCUP!AC106&lt;WORLDCUP!AD106,2,IF(AND(WORLDCUP!AC106=WORLDCUP!AD106,WORLDCUP!AC106&lt;&gt;"",WORLDCUP!AD106&lt;&gt;""),"X",0))),"|",WORLDCUP!AC106,"-",WORLDCUP!AD106)</f>
        <v>Francia-Egipto·1|3-1</v>
      </c>
      <c r="D169" s="692"/>
      <c r="E169" s="370"/>
      <c r="F169" s="370"/>
      <c r="G169" s="370"/>
      <c r="H169" s="370"/>
      <c r="I169" s="352"/>
      <c r="J169" s="370"/>
      <c r="K169" s="370"/>
      <c r="L169" s="370"/>
      <c r="M169" s="386"/>
      <c r="N169" s="377"/>
    </row>
    <row r="170" spans="1:14" ht="15" customHeight="1">
      <c r="A170" s="690"/>
      <c r="B170" s="360" t="str">
        <f ca="1">CONCATENATE(WORLDCUP!AA107,"-",WORLDCUP!AF107)</f>
        <v>Sudáfrica-Costa de Marfil</v>
      </c>
      <c r="C170" s="349" t="str">
        <f ca="1">CONCATENATE(WORLDCUP!AA107,"-",WORLDCUP!AF107,"·",IF(WORLDCUP!AC107&gt;WORLDCUP!AD107,1,IF(WORLDCUP!AC107&lt;WORLDCUP!AD107,2,IF(AND(WORLDCUP!AC107=WORLDCUP!AD107,WORLDCUP!AC107&lt;&gt;"",WORLDCUP!AD107&lt;&gt;""),"X",0))),"|",WORLDCUP!AC107,"-",WORLDCUP!AD107)</f>
        <v>Sudáfrica-Costa de Marfil·X|1-1</v>
      </c>
      <c r="D170" s="692"/>
      <c r="E170" s="370"/>
      <c r="F170" s="370"/>
      <c r="G170" s="370"/>
      <c r="H170" s="370"/>
      <c r="I170" s="352"/>
      <c r="J170" s="370"/>
      <c r="K170" s="370"/>
      <c r="L170" s="370"/>
      <c r="M170" s="386"/>
      <c r="N170" s="377"/>
    </row>
    <row r="171" spans="1:14" ht="15" customHeight="1">
      <c r="A171" s="690"/>
      <c r="B171" s="360" t="str">
        <f ca="1">CONCATENATE(WORLDCUP!AA108,"-",WORLDCUP!AF108)</f>
        <v>Croacia-Senegal</v>
      </c>
      <c r="C171" s="349" t="str">
        <f ca="1">CONCATENATE(WORLDCUP!AA108,"-",WORLDCUP!AF108,"·",IF(WORLDCUP!AC108&gt;WORLDCUP!AD108,1,IF(WORLDCUP!AC108&lt;WORLDCUP!AD108,2,IF(AND(WORLDCUP!AC108=WORLDCUP!AD108,WORLDCUP!AC108&lt;&gt;"",WORLDCUP!AD108&lt;&gt;""),"X",0))),"|",WORLDCUP!AC108,"-",WORLDCUP!AD108)</f>
        <v>Croacia-Senegal·1|2-0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692"/>
      <c r="E172" s="370"/>
      <c r="F172" s="370"/>
      <c r="G172" s="370"/>
      <c r="H172" s="370"/>
      <c r="I172" s="352"/>
      <c r="J172" s="370"/>
      <c r="K172" s="370"/>
      <c r="L172" s="370"/>
      <c r="M172" s="386"/>
      <c r="N172" s="377"/>
    </row>
    <row r="173" spans="1:14" ht="15" customHeight="1">
      <c r="A173" s="690"/>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Herzegovina·X|1-1</v>
      </c>
      <c r="D173" s="692"/>
      <c r="E173" s="370"/>
      <c r="F173" s="370"/>
      <c r="G173" s="370"/>
      <c r="H173" s="370"/>
      <c r="I173" s="352"/>
      <c r="J173" s="370"/>
      <c r="K173" s="370"/>
      <c r="L173" s="370"/>
      <c r="M173" s="386"/>
      <c r="N173" s="377"/>
    </row>
    <row r="174" spans="1:14" ht="15" customHeight="1">
      <c r="A174" s="690"/>
      <c r="B174" s="360" t="str">
        <f ca="1">CONCATENATE(WORLDCUP!AA111,"-",WORLDCUP!AF111)</f>
        <v>España-Argentina</v>
      </c>
      <c r="C174" s="349" t="str">
        <f ca="1">CONCATENATE(WORLDCUP!AA111,"-",WORLDCUP!AF111,"·",IF(WORLDCUP!AC111&gt;WORLDCUP!AD111,1,IF(WORLDCUP!AC111&lt;WORLDCUP!AD111,2,IF(AND(WORLDCUP!AC111=WORLDCUP!AD111,WORLDCUP!AC111&lt;&gt;"",WORLDCUP!AD111&lt;&gt;""),"X",0))),"|",WORLDCUP!AC111,"-",WORLDCUP!AD111)</f>
        <v>España-Argentina·1|3-1</v>
      </c>
      <c r="D174" s="692"/>
      <c r="E174" s="370"/>
      <c r="F174" s="370"/>
      <c r="G174" s="370"/>
      <c r="H174" s="370"/>
      <c r="I174" s="352"/>
      <c r="J174" s="370"/>
      <c r="K174" s="370"/>
      <c r="L174" s="370"/>
      <c r="M174" s="386"/>
      <c r="N174" s="377"/>
    </row>
    <row r="175" spans="1:14" ht="15" customHeight="1">
      <c r="A175" s="690"/>
      <c r="B175" s="360" t="str">
        <f ca="1">CONCATENATE(WORLDCUP!AA112,"-",WORLDCUP!AF112)</f>
        <v>Colombia-Inglaterra</v>
      </c>
      <c r="C175" s="349" t="str">
        <f ca="1">CONCATENATE(WORLDCUP!AA112,"-",WORLDCUP!AF112,"·",IF(WORLDCUP!AC112&gt;WORLDCUP!AD112,1,IF(WORLDCUP!AC112&lt;WORLDCUP!AD112,2,IF(AND(WORLDCUP!AC112=WORLDCUP!AD112,WORLDCUP!AC112&lt;&gt;"",WORLDCUP!AD112&lt;&gt;""),"X",0))),"|",WORLDCUP!AC112,"-",WORLDCUP!AD112)</f>
        <v>Colombia-Inglaterra·2|1-2</v>
      </c>
      <c r="D175" s="692"/>
      <c r="E175" s="370"/>
      <c r="F175" s="370"/>
      <c r="G175" s="370"/>
      <c r="H175" s="370"/>
      <c r="I175" s="352"/>
      <c r="J175" s="370"/>
      <c r="K175" s="370"/>
      <c r="L175" s="370"/>
      <c r="M175" s="386"/>
      <c r="N175" s="377"/>
    </row>
    <row r="176" spans="1:14" ht="15" customHeight="1">
      <c r="A176" s="690"/>
      <c r="B176" s="360" t="str">
        <f ca="1">CONCATENATE(WORLDCUP!AA113,"-",WORLDCUP!AF113)</f>
        <v>Canadá-Argelia</v>
      </c>
      <c r="C176" s="349" t="str">
        <f ca="1">CONCATENATE(WORLDCUP!AA113,"-",WORLDCUP!AF113,"·",IF(WORLDCUP!AC113&gt;WORLDCUP!AD113,1,IF(WORLDCUP!AC113&lt;WORLDCUP!AD113,2,IF(AND(WORLDCUP!AC113=WORLDCUP!AD113,WORLDCUP!AC113&lt;&gt;"",WORLDCUP!AD113&lt;&gt;""),"X",0))),"|",WORLDCUP!AC113,"-",WORLDCUP!AD113)</f>
        <v>Canadá-Argelia·X|2-2</v>
      </c>
      <c r="D176" s="692"/>
      <c r="E176" s="370"/>
      <c r="F176" s="370"/>
      <c r="G176" s="370"/>
      <c r="H176" s="370"/>
      <c r="I176" s="352"/>
      <c r="J176" s="370"/>
      <c r="K176" s="370"/>
      <c r="L176" s="370"/>
      <c r="M176" s="386"/>
      <c r="N176" s="377"/>
    </row>
    <row r="177" spans="1:14" ht="15" customHeight="1">
      <c r="A177" s="690"/>
      <c r="B177" s="360" t="str">
        <f ca="1">CONCATENATE(WORLDCUP!AA114,"-",WORLDCUP!AF114)</f>
        <v>Paraguay-Irán</v>
      </c>
      <c r="C177" s="349" t="str">
        <f ca="1">CONCATENATE(WORLDCUP!AA114,"-",WORLDCUP!AF114,"·",IF(WORLDCUP!AC114&gt;WORLDCUP!AD114,1,IF(WORLDCUP!AC114&lt;WORLDCUP!AD114,2,IF(AND(WORLDCUP!AC114=WORLDCUP!AD114,WORLDCUP!AC114&lt;&gt;"",WORLDCUP!AD114&lt;&gt;""),"X",0))),"|",WORLDCUP!AC114,"-",WORLDCUP!AD114)</f>
        <v>Paraguay-Irán·2|1-2</v>
      </c>
      <c r="D177" s="692"/>
      <c r="E177" s="370"/>
      <c r="F177" s="370"/>
      <c r="G177" s="370"/>
      <c r="H177" s="370"/>
      <c r="I177" s="352"/>
      <c r="J177" s="370"/>
      <c r="K177" s="370"/>
      <c r="L177" s="370"/>
      <c r="M177" s="386"/>
      <c r="N177" s="377"/>
    </row>
    <row r="178" spans="1:14" ht="15" customHeight="1">
      <c r="A178" s="690"/>
      <c r="B178" s="360" t="str">
        <f ca="1">CONCATENATE(WORLDCUP!AA115,"-",WORLDCUP!AF115)</f>
        <v>Austria-Uruguay</v>
      </c>
      <c r="C178" s="349" t="str">
        <f ca="1">CONCATENATE(WORLDCUP!AA115,"-",WORLDCUP!AF115,"·",IF(WORLDCUP!AC115&gt;WORLDCUP!AD115,1,IF(WORLDCUP!AC115&lt;WORLDCUP!AD115,2,IF(AND(WORLDCUP!AC115=WORLDCUP!AD115,WORLDCUP!AC115&lt;&gt;"",WORLDCUP!AD115&lt;&gt;""),"X",0))),"|",WORLDCUP!AC115,"-",WORLDCUP!AD115)</f>
        <v>Austria-Uruguay·2|0-2</v>
      </c>
      <c r="D178" s="692"/>
      <c r="E178" s="370"/>
      <c r="F178" s="370"/>
      <c r="G178" s="370"/>
      <c r="H178" s="370"/>
      <c r="I178" s="352"/>
      <c r="J178" s="370"/>
      <c r="K178" s="370"/>
      <c r="L178" s="370"/>
      <c r="M178" s="386"/>
      <c r="N178" s="377"/>
    </row>
    <row r="179" spans="1:14" ht="15" customHeight="1">
      <c r="A179" s="690"/>
      <c r="B179" s="360" t="str">
        <f ca="1">CONCATENATE(WORLDCUP!AA116,"-",WORLDCUP!AF116)</f>
        <v>Portugal-Panamá</v>
      </c>
      <c r="C179" s="349" t="str">
        <f ca="1">CONCATENATE(WORLDCUP!AA116,"-",WORLDCUP!AF116,"·",IF(WORLDCUP!AC116&gt;WORLDCUP!AD116,1,IF(WORLDCUP!AC116&lt;WORLDCUP!AD116,2,IF(AND(WORLDCUP!AC116=WORLDCUP!AD116,WORLDCUP!AC116&lt;&gt;"",WORLDCUP!AD116&lt;&gt;""),"X",0))),"|",WORLDCUP!AC116,"-",WORLDCUP!AD116)</f>
        <v>Portugal-Panamá·1|2-0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14999999999999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México</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Países Bajos</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Sudáfrica</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Inglaterra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Uruguay</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Argelia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Brasil</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Croacia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Irán</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14999999999999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México-Brasil</v>
      </c>
      <c r="C200" s="351" t="str">
        <f ca="1">CONCATENATE(WORLDCUP!AA120,"-",WORLDCUP!AF120,"·",IF(WORLDCUP!AC120&gt;WORLDCUP!AD120,1,IF(WORLDCUP!AC120&lt;WORLDCUP!AD120,2,IF(AND(WORLDCUP!AC120=WORLDCUP!AD120,WORLDCUP!AC120&lt;&gt;"",WORLDCUP!AD120&lt;&gt;""),"X",0))),"|",WORLDCUP!AC120,"-",WORLDCUP!AD120)</f>
        <v>México-Brasil·2|1-3</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Países Bajos-Noruega</v>
      </c>
      <c r="C202" s="351" t="str">
        <f ca="1">CONCATENATE(WORLDCUP!AA122,"-",WORLDCUP!AF122,"·",IF(WORLDCUP!AC122&gt;WORLDCUP!AD122,1,IF(WORLDCUP!AC122&lt;WORLDCUP!AD122,2,IF(AND(WORLDCUP!AC122=WORLDCUP!AD122,WORLDCUP!AC122&lt;&gt;"",WORLDCUP!AD122&lt;&gt;""),"X",0))),"|",WORLDCUP!AC122,"-",WORLDCUP!AD122)</f>
        <v>Países Bajos-Noruega·2|1-2</v>
      </c>
      <c r="D202" s="691"/>
      <c r="E202" s="686"/>
      <c r="F202" s="686"/>
      <c r="G202" s="686"/>
      <c r="H202" s="686"/>
      <c r="I202" s="352"/>
      <c r="J202" s="370"/>
      <c r="K202" s="370"/>
      <c r="L202" s="370"/>
      <c r="M202" s="386"/>
      <c r="N202" s="377"/>
    </row>
    <row r="203" spans="1:14" ht="15" customHeight="1">
      <c r="A203" s="690"/>
      <c r="B203" s="361" t="str">
        <f ca="1">CONCATENATE(WORLDCUP!AA123,"-",WORLDCUP!AF123)</f>
        <v>Sudáfrica-Croacia</v>
      </c>
      <c r="C203" s="351" t="str">
        <f ca="1">CONCATENATE(WORLDCUP!AA123,"-",WORLDCUP!AF123,"·",IF(WORLDCUP!AC123&gt;WORLDCUP!AD123,1,IF(WORLDCUP!AC123&lt;WORLDCUP!AD123,2,IF(AND(WORLDCUP!AC123=WORLDCUP!AD123,WORLDCUP!AC123&lt;&gt;"",WORLDCUP!AD123&lt;&gt;""),"X",0))),"|",WORLDCUP!AC123,"-",WORLDCUP!AD123)</f>
        <v>Sudáfrica-Croacia·2|0-1</v>
      </c>
      <c r="D203" s="691"/>
      <c r="E203" s="686"/>
      <c r="F203" s="686"/>
      <c r="G203" s="686"/>
      <c r="H203" s="686"/>
      <c r="I203" s="352"/>
      <c r="J203" s="370"/>
      <c r="K203" s="370"/>
      <c r="L203" s="370"/>
      <c r="M203" s="386"/>
      <c r="N203" s="377"/>
    </row>
    <row r="204" spans="1:14" ht="15" customHeight="1">
      <c r="A204" s="690"/>
      <c r="B204" s="361" t="str">
        <f ca="1">CONCATENATE(WORLDCUP!AA124,"-",WORLDCUP!AF124)</f>
        <v>Inglaterra-España</v>
      </c>
      <c r="C204" s="351" t="str">
        <f ca="1">CONCATENATE(WORLDCUP!AA124,"-",WORLDCUP!AF124,"·",IF(WORLDCUP!AC124&gt;WORLDCUP!AD124,1,IF(WORLDCUP!AC124&lt;WORLDCUP!AD124,2,IF(AND(WORLDCUP!AC124=WORLDCUP!AD124,WORLDCUP!AC124&lt;&gt;"",WORLDCUP!AD124&lt;&gt;""),"X",0))),"|",WORLDCUP!AC124,"-",WORLDCUP!AD124)</f>
        <v>Inglaterra-España·2|1-2</v>
      </c>
      <c r="D204" s="691"/>
      <c r="E204" s="352"/>
      <c r="F204" s="352"/>
      <c r="G204" s="352"/>
      <c r="H204" s="352"/>
      <c r="I204" s="352"/>
      <c r="J204" s="370"/>
      <c r="K204" s="370"/>
      <c r="L204" s="370"/>
      <c r="M204" s="386"/>
      <c r="N204" s="377"/>
    </row>
    <row r="205" spans="1:14" ht="15" customHeight="1">
      <c r="A205" s="690"/>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Turquía-Bélgica·2|1-2</v>
      </c>
      <c r="D205" s="691"/>
      <c r="E205" s="352"/>
      <c r="F205" s="352"/>
      <c r="G205" s="352"/>
      <c r="H205" s="352"/>
      <c r="I205" s="352"/>
      <c r="J205" s="370"/>
      <c r="K205" s="370"/>
      <c r="L205" s="370"/>
      <c r="M205" s="386"/>
      <c r="N205" s="377"/>
    </row>
    <row r="206" spans="1:14" ht="15" customHeight="1">
      <c r="A206" s="690"/>
      <c r="B206" s="361" t="str">
        <f ca="1">CONCATENATE(WORLDCUP!AA126,"-",WORLDCUP!AF126)</f>
        <v>Uruguay-Irán</v>
      </c>
      <c r="C206" s="351" t="str">
        <f ca="1">CONCATENATE(WORLDCUP!AA126,"-",WORLDCUP!AF126,"·",IF(WORLDCUP!AC126&gt;WORLDCUP!AD126,1,IF(WORLDCUP!AC126&lt;WORLDCUP!AD126,2,IF(AND(WORLDCUP!AC126=WORLDCUP!AD126,WORLDCUP!AC126&lt;&gt;"",WORLDCUP!AD126&lt;&gt;""),"X",0))),"|",WORLDCUP!AC126,"-",WORLDCUP!AD126)</f>
        <v>Uruguay-Irán·1|1-0</v>
      </c>
      <c r="D206" s="691"/>
      <c r="E206" s="352"/>
      <c r="F206" s="352"/>
      <c r="G206" s="352"/>
      <c r="H206" s="352"/>
      <c r="I206" s="352"/>
      <c r="J206" s="370"/>
      <c r="K206" s="370"/>
      <c r="L206" s="370"/>
      <c r="M206" s="386"/>
      <c r="N206" s="377"/>
    </row>
    <row r="207" spans="1:14" ht="15" customHeight="1">
      <c r="A207" s="690"/>
      <c r="B207" s="361" t="str">
        <f ca="1">CONCATENATE(WORLDCUP!AA127,"-",WORLDCUP!AF127)</f>
        <v>Argelia-Portugal</v>
      </c>
      <c r="C207" s="351" t="str">
        <f ca="1">CONCATENATE(WORLDCUP!AA127,"-",WORLDCUP!AF127,"·",IF(WORLDCUP!AC127&gt;WORLDCUP!AD127,1,IF(WORLDCUP!AC127&lt;WORLDCUP!AD127,2,IF(AND(WORLDCUP!AC127=WORLDCUP!AD127,WORLDCUP!AC127&lt;&gt;"",WORLDCUP!AD127&lt;&gt;""),"X",0))),"|",WORLDCUP!AC127,"-",WORLDCUP!AD127)</f>
        <v>Argelia-Portugal·2|0-2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14999999999999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Noruega</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Uruguay</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Brasil</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Croacia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Francia-Brasil</v>
      </c>
      <c r="C220" s="349" t="str">
        <f ca="1">CONCATENATE(WORLDCUP!AA131,"-",WORLDCUP!AF131,"·",IF(WORLDCUP!AC131&gt;WORLDCUP!AD131,1,IF(WORLDCUP!AC131&lt;WORLDCUP!AD131,2,IF(AND(WORLDCUP!AC131=WORLDCUP!AD131,WORLDCUP!AC131&lt;&gt;"",WORLDCUP!AD131&lt;&gt;""),"X",0))),"|",WORLDCUP!AC131,"-",WORLDCUP!AD131)</f>
        <v>Francia-Brasil·1|2-0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España-Bélgica·1|3-0</v>
      </c>
      <c r="D221" s="692"/>
      <c r="E221" s="686"/>
      <c r="F221" s="686"/>
      <c r="G221" s="686"/>
      <c r="H221" s="686"/>
      <c r="I221" s="352"/>
      <c r="J221" s="370"/>
      <c r="K221" s="370"/>
      <c r="L221" s="370"/>
      <c r="M221" s="386"/>
      <c r="N221" s="377"/>
    </row>
    <row r="222" spans="1:14" ht="15" customHeight="1">
      <c r="A222" s="690"/>
      <c r="B222" s="360" t="str">
        <f ca="1">CONCATENATE(WORLDCUP!AA133,"-",WORLDCUP!AF133)</f>
        <v>Noruega-Croacia</v>
      </c>
      <c r="C222" s="349" t="str">
        <f ca="1">CONCATENATE(WORLDCUP!AA133,"-",WORLDCUP!AF133,"·",IF(WORLDCUP!AC133&gt;WORLDCUP!AD133,1,IF(WORLDCUP!AC133&lt;WORLDCUP!AD133,2,IF(AND(WORLDCUP!AC133=WORLDCUP!AD133,WORLDCUP!AC133&lt;&gt;"",WORLDCUP!AD133&lt;&gt;""),"X",0))),"|",WORLDCUP!AC133,"-",WORLDCUP!AD133)</f>
        <v>Noruega-Croacia·2|0-1</v>
      </c>
      <c r="D222" s="692"/>
      <c r="E222" s="686"/>
      <c r="F222" s="686"/>
      <c r="G222" s="686"/>
      <c r="H222" s="686"/>
      <c r="I222" s="352"/>
      <c r="J222" s="370"/>
      <c r="K222" s="370"/>
      <c r="L222" s="370"/>
      <c r="M222" s="386"/>
      <c r="N222" s="377"/>
    </row>
    <row r="223" spans="1:14" ht="15" customHeight="1">
      <c r="A223" s="690"/>
      <c r="B223" s="360" t="str">
        <f ca="1">CONCATENATE(WORLDCUP!AA134,"-",WORLDCUP!AF134)</f>
        <v>Uruguay-Portugal</v>
      </c>
      <c r="C223" s="349" t="str">
        <f ca="1">CONCATENATE(WORLDCUP!AA134,"-",WORLDCUP!AF134,"·",IF(WORLDCUP!AC134&gt;WORLDCUP!AD134,1,IF(WORLDCUP!AC134&lt;WORLDCUP!AD134,2,IF(AND(WORLDCUP!AC134=WORLDCUP!AD134,WORLDCUP!AC134&lt;&gt;"",WORLDCUP!AD134&lt;&gt;""),"X",0))),"|",WORLDCUP!AC134,"-",WORLDCUP!AD134)</f>
        <v>Uruguay-Portugal·2|0-2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Croacia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14999999999999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Croacia-Portugal</v>
      </c>
      <c r="C233" s="351" t="str">
        <f ca="1">CONCATENATE(WORLDCUP!AA139,"-",WORLDCUP!AF139,"·",IF(WORLDCUP!AC139&gt;WORLDCUP!AD139,1,IF(WORLDCUP!AC139&lt;WORLDCUP!AD139,2,IF(AND(WORLDCUP!AC139=WORLDCUP!AD139,WORLDCUP!AC139&lt;&gt;"",WORLDCUP!AD139&lt;&gt;""),"X",0))),"|",WORLDCUP!AC139,"-",WORLDCUP!AD139)</f>
        <v>Croacia-Portugal·2|1-3</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Croacia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14999999999999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Francia-Croacia</v>
      </c>
      <c r="C244" s="349" t="str">
        <f ca="1">CONCATENATE(WORLDCUP!AA143,"-",WORLDCUP!AF143,"·",IF(WORLDCUP!AC143&gt;WORLDCUP!AD143,1,IF(WORLDCUP!AC143&lt;WORLDCUP!AD143,2,IF(AND(WORLDCUP!AC143=WORLDCUP!AD143,WORLDCUP!AC143&lt;&gt;"",WORLDCUP!AD143&lt;&gt;""),"X",0))),"|",WORLDCUP!AC143,"-",WORLDCUP!AD143)</f>
        <v>Francia-Croacia·1|3-0</v>
      </c>
      <c r="D244" s="689" t="s">
        <v>583</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España-Portugal·1|3-1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14999999999999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Harry Kane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Oyarzabal</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Mbappe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AC13" sqref="AC13"/>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6" hidden="1" customWidth="1"/>
    <col min="25" max="25" width="2.7109375" style="9" customWidth="1"/>
    <col min="26" max="26" width="7.42578125" style="9" bestFit="1" customWidth="1"/>
    <col min="27" max="27" width="9.7109375" style="3" customWidth="1"/>
    <col min="28" max="29" width="4.28515625" style="3" customWidth="1"/>
    <col min="30" max="30" width="2.7109375" style="9" customWidth="1"/>
    <col min="31" max="31" width="9.7109375" style="3" customWidth="1"/>
    <col min="32" max="33" width="4.28515625" style="3" customWidth="1"/>
    <col min="34" max="34" width="2.7109375" style="9" customWidth="1"/>
    <col min="35" max="35" width="9.7109375" style="3" customWidth="1"/>
    <col min="36" max="37" width="4.28515625" style="3" customWidth="1"/>
    <col min="38" max="38" width="2.7109375" style="9" customWidth="1"/>
    <col min="39" max="39" width="9.7109375" style="3" customWidth="1"/>
    <col min="40" max="41" width="4.28515625" style="3" customWidth="1"/>
    <col min="42" max="42" width="2.7109375" style="9" customWidth="1"/>
    <col min="43" max="43" width="9.7109375" style="3" customWidth="1"/>
    <col min="44" max="45" width="4.28515625" style="3" customWidth="1"/>
    <col min="46" max="46" width="2.7109375" style="9"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15"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0</v>
      </c>
      <c r="E3" s="418">
        <f>IF(ISBLANK(INDEX(WORLDCUP!$AD$4:$AD$147,MATCH(A3,WORLDCUP!$AH$4:$AH$147,0))),"",INDEX(WORLDCUP!$AD$4:$AD$147,MATCH(A3,WORLDCUP!$AH$4:$AH$147,0)))</f>
        <v>2</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4</v>
      </c>
      <c r="F4" s="446" t="str">
        <f ca="1">+MID(INDEX(WORLDCUP!$AF$4:$AF$147,MATCH(A4,WORLDCUP!$AH$4:$AH$147,0)),1,3)</f>
        <v>Rep</v>
      </c>
      <c r="G4" s="447">
        <v>1</v>
      </c>
      <c r="H4" s="448" t="str">
        <f ca="1">+MID(INDEX(WORLDCUP!$AL$6:$AL$97,MATCH(L4,WORLDCUP!$AI$6:$AI$97,0)),1,3)</f>
        <v>Sud</v>
      </c>
      <c r="I4" s="449">
        <f ca="1">+INDEX(WORLDCUP!$AM$6:$AM$97,MATCH(L4,WORLDCUP!$AI$6:$AI$97,0))</f>
        <v>5</v>
      </c>
      <c r="J4" s="450">
        <f ca="1">+INDEX(WORLDCUP!$AT$6:$AT$97,MATCH(L4,WORLDCUP!$AI$6:$AI$97,0))</f>
        <v>2</v>
      </c>
      <c r="K4" s="451" t="str">
        <f ca="1">+INDEX(WORLDCUP!$AR$6:$AR$97,MATCH(L4,WORLDCUP!$AI$6:$AI$97,0))&amp;"-"&amp;INDEX(WORLDCUP!$AS$6:$AS$97,MATCH(L4,WORLDCUP!$AI$6:$AI$97,0))</f>
        <v>4-2</v>
      </c>
      <c r="L4" s="181" t="s">
        <v>657</v>
      </c>
      <c r="M4" s="181">
        <v>15</v>
      </c>
      <c r="N4" s="452"/>
      <c r="O4" s="444" t="str">
        <f ca="1">+MID(INDEX(WORLDCUP!$AA$4:$AA$147,MATCH(M4,WORLDCUP!$AH$4:$AH$147,0)),1,3)</f>
        <v>Irá</v>
      </c>
      <c r="P4" s="445">
        <f>IF(ISBLANK(INDEX(WORLDCUP!$AC$4:$AC$147,MATCH(M4,WORLDCUP!$AH$4:$AH$147,0))),"",INDEX(WORLDCUP!$AC$4:$AC$147,MATCH(M4,WORLDCUP!$AH$4:$AH$147,0)))</f>
        <v>4</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7</v>
      </c>
      <c r="W4" s="451" t="str">
        <f ca="1">+INDEX(WORLDCUP!$AR$6:$AR$97,MATCH(X4,WORLDCUP!$AI$6:$AI$97,0))&amp;"-"&amp;INDEX(WORLDCUP!$AS$6:$AS$97,MATCH(X4,WORLDCUP!$AI$6:$AI$97,0))</f>
        <v>7-0</v>
      </c>
      <c r="X4" s="181" t="s">
        <v>679</v>
      </c>
      <c r="Y4" s="181">
        <v>74</v>
      </c>
      <c r="Z4" s="425" t="s">
        <v>734</v>
      </c>
      <c r="AA4" s="426" t="str">
        <f ca="1">+MID(INDEX(WORLDCUP!$AF$101:$AF$147,MATCH(Y4,WORLDCUP!$Z$101:$Z$147,0)),1,IF(WORLDCUP!$H$113&lt;144,6,3))</f>
        <v>Tún</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Méx</v>
      </c>
      <c r="I5" s="38">
        <f ca="1">+INDEX(WORLDCUP!$AM$6:$AM$97,MATCH(L5,WORLDCUP!$AI$6:$AI$97,0))</f>
        <v>4</v>
      </c>
      <c r="J5" s="39">
        <f ca="1">+INDEX(WORLDCUP!$AT$6:$AT$97,MATCH(L5,WORLDCUP!$AI$6:$AI$97,0))</f>
        <v>0</v>
      </c>
      <c r="K5" s="43" t="str">
        <f ca="1">+INDEX(WORLDCUP!$AR$6:$AR$97,MATCH(L5,WORLDCUP!$AI$6:$AI$97,0))&amp;"-"&amp;INDEX(WORLDCUP!$AS$6:$AS$97,MATCH(L5,WORLDCUP!$AI$6:$AI$97,0))</f>
        <v>3-3</v>
      </c>
      <c r="L5" s="181" t="s">
        <v>658</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Irá</v>
      </c>
      <c r="U5" s="38">
        <f ca="1">+INDEX(WORLDCUP!$AM$6:$AM$97,MATCH(X5,WORLDCUP!$AI$6:$AI$97,0))</f>
        <v>4</v>
      </c>
      <c r="V5" s="39">
        <f ca="1">+INDEX(WORLDCUP!$AT$6:$AT$97,MATCH(X5,WORLDCUP!$AI$6:$AI$97,0))</f>
        <v>2</v>
      </c>
      <c r="W5" s="43" t="str">
        <f ca="1">+INDEX(WORLDCUP!$AR$6:$AR$97,MATCH(X5,WORLDCUP!$AI$6:$AI$97,0))&amp;"-"&amp;INDEX(WORLDCUP!$AS$6:$AS$97,MATCH(X5,WORLDCUP!$AI$6:$AI$97,0))</f>
        <v>5-3</v>
      </c>
      <c r="X5" s="181" t="s">
        <v>680</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5-4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-1</v>
      </c>
      <c r="W6" s="43" t="str">
        <f ca="1">+INDEX(WORLDCUP!$AR$6:$AR$97,MATCH(X6,WORLDCUP!$AI$6:$AI$97,0))&amp;"-"&amp;INDEX(WORLDCUP!$AS$6:$AS$97,MATCH(X6,WORLDCUP!$AI$6:$AI$97,0))</f>
        <v>3-4</v>
      </c>
      <c r="X6" s="181" t="s">
        <v>445</v>
      </c>
      <c r="Y6" s="181">
        <v>77</v>
      </c>
      <c r="Z6" s="425" t="s">
        <v>685</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0</v>
      </c>
      <c r="BJ6" s="464">
        <f ca="1">COUNTIF(Pool!$C$182:$C$197,Fixture!BG6)-BK6-BL6-BM6-BN6-BO6</f>
        <v>1</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Cor</v>
      </c>
      <c r="I7" s="477">
        <f ca="1">+INDEX(WORLDCUP!$AM$6:$AM$97,MATCH(L7,WORLDCUP!$AI$6:$AI$97,0))</f>
        <v>2</v>
      </c>
      <c r="J7" s="478">
        <f ca="1">+INDEX(WORLDCUP!$AT$6:$AT$97,MATCH(L7,WORLDCUP!$AI$6:$AI$97,0))</f>
        <v>-3</v>
      </c>
      <c r="K7" s="479" t="str">
        <f ca="1">+INDEX(WORLDCUP!$AR$6:$AR$97,MATCH(L7,WORLDCUP!$AI$6:$AI$97,0))&amp;"-"&amp;INDEX(WORLDCUP!$AS$6:$AS$97,MATCH(L7,WORLDCUP!$AI$6:$AI$97,0))</f>
        <v>3-6</v>
      </c>
      <c r="L7" s="181" t="s">
        <v>659</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-8</v>
      </c>
      <c r="W7" s="479" t="str">
        <f ca="1">+INDEX(WORLDCUP!$AR$6:$AR$97,MATCH(X7,WORLDCUP!$AI$6:$AI$97,0))&amp;"-"&amp;INDEX(WORLDCUP!$AS$6:$AS$97,MATCH(X7,WORLDCUP!$AI$6:$AI$97,0))</f>
        <v>1-9</v>
      </c>
      <c r="X7" s="181" t="s">
        <v>681</v>
      </c>
      <c r="Y7" s="181">
        <v>77</v>
      </c>
      <c r="Z7" s="425" t="s">
        <v>735</v>
      </c>
      <c r="AA7" s="480" t="str">
        <f ca="1">+MID(INDEX(WORLDCUP!$AF$101:$AF$147,MATCH(Y7,WORLDCUP!$Z$101:$Z$147,0)),1,IF(WORLDCUP!$H$113&lt;144,6,3))</f>
        <v>Egi</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1</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Bra</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Méx</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Méx</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0</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Bra</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2</v>
      </c>
      <c r="K12" s="451" t="str">
        <f ca="1">+INDEX(WORLDCUP!$AR$6:$AR$97,MATCH(L12,WORLDCUP!$AI$6:$AI$97,0))&amp;"-"&amp;INDEX(WORLDCUP!$AS$6:$AS$97,MATCH(L12,WORLDCUP!$AI$6:$AI$97,0))</f>
        <v>3-1</v>
      </c>
      <c r="L12" s="181" t="s">
        <v>660</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7-1</v>
      </c>
      <c r="X12" s="181" t="s">
        <v>682</v>
      </c>
      <c r="Y12" s="181">
        <v>75</v>
      </c>
      <c r="Z12" s="425" t="s">
        <v>676</v>
      </c>
      <c r="AA12" s="426" t="str">
        <f ca="1">+MID(INDEX(WORLDCUP!$AA$101:$AA$147,MATCH(Y12,WORLDCUP!$Z$101:$Z$147,0)),1,3)</f>
        <v>Jap</v>
      </c>
      <c r="AB12" s="472">
        <f>+IF(ISBLANK(INDEX(WORLDCUP!$AC$101:$AC$147,MATCH(Y12,WORLDCUP!$Z$101:$Z$147,0))),"",INDEX(WORLDCUP!$AC$101:$AC$147,MATCH(Y12,WORLDCUP!$Z$101:$Z$147,0)))</f>
        <v>2</v>
      </c>
      <c r="AC12" s="506" t="str">
        <f>+IF(ISBLANK(INDEX(WORLDCUP!$AB$101:$AB$147,MATCH(Y12,WORLDCUP!$Z$101:$Z$147,0))),"","( "&amp;INDEX(WORLDCUP!$AB$101:$AB$147,MATCH(Y12,WORLDCUP!$Z$101:$Z$147,0))&amp;" )")</f>
        <v>( 2 )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Sui</v>
      </c>
      <c r="I13" s="38">
        <f ca="1">+INDEX(WORLDCUP!$AM$6:$AM$97,MATCH(L13,WORLDCUP!$AI$6:$AI$97,0))</f>
        <v>6</v>
      </c>
      <c r="J13" s="39">
        <f ca="1">+INDEX(WORLDCUP!$AT$6:$AT$97,MATCH(L13,WORLDCUP!$AI$6:$AI$97,0))</f>
        <v>2</v>
      </c>
      <c r="K13" s="43" t="str">
        <f ca="1">+INDEX(WORLDCUP!$AR$6:$AR$97,MATCH(L13,WORLDCUP!$AI$6:$AI$97,0))&amp;"-"&amp;INDEX(WORLDCUP!$AS$6:$AS$97,MATCH(L13,WORLDCUP!$AI$6:$AI$97,0))</f>
        <v>3-1</v>
      </c>
      <c r="L13" s="181" t="s">
        <v>661</v>
      </c>
      <c r="M13" s="181">
        <v>38</v>
      </c>
      <c r="N13" s="505"/>
      <c r="O13" s="444" t="str">
        <f ca="1">+MID(INDEX(WORLDCUP!$AA$4:$AA$147,MATCH(M13,WORLDCUP!$AH$4:$AH$147,0)),1,3)</f>
        <v>Esp</v>
      </c>
      <c r="P13" s="445">
        <f>IF(ISBLANK(INDEX(WORLDCUP!$AC$4:$AC$147,MATCH(M13,WORLDCUP!$AH$4:$AH$147,0))),"",INDEX(WORLDCUP!$AC$4:$AC$147,MATCH(M13,WORLDCUP!$AH$4:$AH$147,0)))</f>
        <v>1</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81" t="s">
        <v>683</v>
      </c>
      <c r="Y13" s="181">
        <v>75</v>
      </c>
      <c r="Z13" s="425" t="s">
        <v>668</v>
      </c>
      <c r="AA13" s="480" t="str">
        <f ca="1">+MID(INDEX(WORLDCUP!$AF$101:$AF$147,MATCH(Y13,WORLDCUP!$Z$101:$Z$147,0)),1,3)</f>
        <v>Bra</v>
      </c>
      <c r="AB13" s="481">
        <f>+IF(ISBLANK(INDEX(WORLDCUP!$AD$101:$AD$147,MATCH(Y13,WORLDCUP!$Z$101:$Z$147,0))),"",INDEX(WORLDCUP!$AD$101:$AD$147,MATCH(Y13,WORLDCUP!$Z$101:$Z$147,0)))</f>
        <v>2</v>
      </c>
      <c r="AC13" s="507" t="str">
        <f>+IF(ISBLANK(INDEX(WORLDCUP!$AE$101:$AE$147,MATCH(Y13,WORLDCUP!$Z$101:$Z$147,0))),"","( "&amp;INDEX(WORLDCUP!$AE$101:$AE$147,MATCH(Y13,WORLDCUP!$Z$101:$Z$147,0))&amp;" )")</f>
        <v>( 4 )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2-2</v>
      </c>
      <c r="L14" s="181" t="s">
        <v>91</v>
      </c>
      <c r="M14" s="181">
        <v>37</v>
      </c>
      <c r="N14" s="505"/>
      <c r="O14" s="444" t="str">
        <f ca="1">+MID(INDEX(WORLDCUP!$AA$4:$AA$147,MATCH(M14,WORLDCUP!$AH$4:$AH$147,0)),1,3)</f>
        <v>Uru</v>
      </c>
      <c r="P14" s="445">
        <f>IF(ISBLANK(INDEX(WORLDCUP!$AC$4:$AC$147,MATCH(M14,WORLDCUP!$AH$4:$AH$147,0))),"",INDEX(WORLDCUP!$AC$4:$AC$147,MATCH(M14,WORLDCUP!$AH$4:$AH$147,0)))</f>
        <v>1</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1-4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0</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-4</v>
      </c>
      <c r="K15" s="479" t="str">
        <f ca="1">+INDEX(WORLDCUP!$AR$6:$AR$97,MATCH(L15,WORLDCUP!$AI$6:$AI$97,0))&amp;"-"&amp;INDEX(WORLDCUP!$AS$6:$AS$97,MATCH(L15,WORLDCUP!$AI$6:$AI$97,0))</f>
        <v>1-5</v>
      </c>
      <c r="L15" s="181" t="s">
        <v>662</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-6</v>
      </c>
      <c r="W15" s="479" t="str">
        <f ca="1">+INDEX(WORLDCUP!$AR$6:$AR$97,MATCH(X15,WORLDCUP!$AI$6:$AI$97,0))&amp;"-"&amp;INDEX(WORLDCUP!$AS$6:$AS$97,MATCH(X15,WORLDCUP!$AI$6:$AI$97,0))</f>
        <v>0-6</v>
      </c>
      <c r="X15" s="181" t="s">
        <v>684</v>
      </c>
      <c r="Y15" s="181">
        <v>83</v>
      </c>
      <c r="Z15" s="425" t="s">
        <v>692</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Ing</v>
      </c>
      <c r="AB16" s="453">
        <f>+IF(ISBLANK(INDEX(WORLDCUP!$AD$101:$AD$147,MATCH(Y16,WORLDCUP!$Z$101:$Z$147,0))),"",INDEX(WORLDCUP!$AD$101:$AD$147,MATCH(Y16,WORLDCUP!$Z$101:$Z$147,0)))</f>
        <v>2</v>
      </c>
      <c r="AC16" s="454" t="str">
        <f>+IF(ISBLANK(INDEX(WORLDCUP!$AE$101:$AE$147,MATCH(Y16,WORLDCUP!$Z$101:$Z$147,0))),"","( "&amp;INDEX(WORLDCUP!$AE$101:$AE$147,MATCH(Y16,WORLDCUP!$Z$101:$Z$147,0))&amp;" )")</f>
        <v/>
      </c>
      <c r="AD16" s="455">
        <v>93</v>
      </c>
      <c r="AE16" s="456" t="str">
        <f ca="1">+MID(INDEX(WORLDCUP!$AA$101:$AA$147,MATCH(AD16,WORLDCUP!$Z$101:$Z$147,0)),1,3)</f>
        <v>Ing</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2</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Arg</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1</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3</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Mar</v>
      </c>
      <c r="I20" s="449">
        <f ca="1">+INDEX(WORLDCUP!$AM$6:$AM$97,MATCH(L20,WORLDCUP!$AI$6:$AI$97,0))</f>
        <v>9</v>
      </c>
      <c r="J20" s="450">
        <f ca="1">+INDEX(WORLDCUP!$AT$6:$AT$97,MATCH(L20,WORLDCUP!$AI$6:$AI$97,0))</f>
        <v>4</v>
      </c>
      <c r="K20" s="451" t="str">
        <f ca="1">+INDEX(WORLDCUP!$AR$6:$AR$97,MATCH(L20,WORLDCUP!$AI$6:$AI$97,0))&amp;"-"&amp;INDEX(WORLDCUP!$AS$6:$AS$97,MATCH(L20,WORLDCUP!$AI$6:$AI$97,0))</f>
        <v>6-2</v>
      </c>
      <c r="L20" s="181" t="s">
        <v>663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7-3</v>
      </c>
      <c r="X20" s="181" t="s">
        <v>685</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Bra</v>
      </c>
      <c r="I21" s="38">
        <f ca="1">+INDEX(WORLDCUP!$AM$6:$AM$97,MATCH(L21,WORLDCUP!$AI$6:$AI$97,0))</f>
        <v>6</v>
      </c>
      <c r="J21" s="39">
        <f ca="1">+INDEX(WORLDCUP!$AT$6:$AT$97,MATCH(L21,WORLDCUP!$AI$6:$AI$97,0))</f>
        <v>6</v>
      </c>
      <c r="K21" s="43" t="str">
        <f ca="1">+INDEX(WORLDCUP!$AR$6:$AR$97,MATCH(L21,WORLDCUP!$AI$6:$AI$97,0))&amp;"-"&amp;INDEX(WORLDCUP!$AS$6:$AS$97,MATCH(L21,WORLDCUP!$AI$6:$AI$97,0))</f>
        <v>8-2</v>
      </c>
      <c r="L21" s="181" t="s">
        <v>668</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2</v>
      </c>
      <c r="W21" s="43" t="str">
        <f ca="1">+INDEX(WORLDCUP!$AR$6:$AR$97,MATCH(X21,WORLDCUP!$AI$6:$AI$97,0))&amp;"-"&amp;INDEX(WORLDCUP!$AS$6:$AS$97,MATCH(X21,WORLDCUP!$AI$6:$AI$97,0))</f>
        <v>6-4</v>
      </c>
      <c r="X21" s="181" t="s">
        <v>686</v>
      </c>
      <c r="Y21" s="181">
        <v>81</v>
      </c>
      <c r="Z21" s="425" t="s">
        <v>670</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( 4 )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Hai</v>
      </c>
      <c r="I22" s="38">
        <f ca="1">+INDEX(WORLDCUP!$AM$6:$AM$97,MATCH(L22,WORLDCUP!$AI$6:$AI$97,0))</f>
        <v>3</v>
      </c>
      <c r="J22" s="39">
        <f ca="1">+INDEX(WORLDCUP!$AT$6:$AT$97,MATCH(L22,WORLDCUP!$AI$6:$AI$97,0))</f>
        <v>-4</v>
      </c>
      <c r="K22" s="43" t="str">
        <f ca="1">+INDEX(WORLDCUP!$AR$6:$AR$97,MATCH(L22,WORLDCUP!$AI$6:$AI$97,0))&amp;"-"&amp;INDEX(WORLDCUP!$AS$6:$AS$97,MATCH(L22,WORLDCUP!$AI$6:$AI$97,0))</f>
        <v>4-8</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0</v>
      </c>
      <c r="W22" s="43" t="str">
        <f ca="1">+INDEX(WORLDCUP!$AR$6:$AR$97,MATCH(X22,WORLDCUP!$AI$6:$AI$97,0))&amp;"-"&amp;INDEX(WORLDCUP!$AS$6:$AS$97,MATCH(X22,WORLDCUP!$AI$6:$AI$97,0))</f>
        <v>8-8</v>
      </c>
      <c r="X22" s="181" t="s">
        <v>450</v>
      </c>
      <c r="Y22" s="181">
        <v>81</v>
      </c>
      <c r="Z22" s="425" t="s">
        <v>738</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( 2 )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Esc</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669</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-6</v>
      </c>
      <c r="W23" s="479" t="str">
        <f ca="1">+INDEX(WORLDCUP!$AR$6:$AR$97,MATCH(X23,WORLDCUP!$AI$6:$AI$97,0))&amp;"-"&amp;INDEX(WORLDCUP!$AS$6:$AS$97,MATCH(X23,WORLDCUP!$AI$6:$AI$97,0))</f>
        <v>4-10</v>
      </c>
      <c r="X23" s="181" t="s">
        <v>687</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4</v>
      </c>
      <c r="Q24" s="488">
        <f>IF(ISBLANK(INDEX(WORLDCUP!$AD$4:$AD$147,MATCH(M24,WORLDCUP!$AH$4:$AH$147,0))),"",INDEX(WORLDCUP!$AD$4:$AD$147,MATCH(M24,WORLDCUP!$AH$4:$AH$147,0)))</f>
        <v>4</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2</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Mar</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5</v>
      </c>
      <c r="K28" s="451" t="str">
        <f ca="1">+INDEX(WORLDCUP!$AR$6:$AR$97,MATCH(L28,WORLDCUP!$AI$6:$AI$97,0))&amp;"-"&amp;INDEX(WORLDCUP!$AS$6:$AS$97,MATCH(L28,WORLDCUP!$AI$6:$AI$97,0))</f>
        <v>7-2</v>
      </c>
      <c r="L28" s="181" t="s">
        <v>670</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Aus</v>
      </c>
      <c r="U28" s="449">
        <f ca="1">+INDEX(WORLDCUP!$AM$6:$AM$97,MATCH(X28,WORLDCUP!$AI$6:$AI$97,0))</f>
        <v>9</v>
      </c>
      <c r="V28" s="450">
        <f ca="1">+INDEX(WORLDCUP!$AT$6:$AT$97,MATCH(X28,WORLDCUP!$AI$6:$AI$97,0))</f>
        <v>5</v>
      </c>
      <c r="W28" s="451" t="str">
        <f ca="1">+INDEX(WORLDCUP!$AR$6:$AR$97,MATCH(X28,WORLDCUP!$AI$6:$AI$97,0))&amp;"-"&amp;INDEX(WORLDCUP!$AS$6:$AS$97,MATCH(X28,WORLDCUP!$AI$6:$AI$97,0))</f>
        <v>6-1</v>
      </c>
      <c r="X28" s="181" t="s">
        <v>688</v>
      </c>
      <c r="Y28" s="181">
        <v>76</v>
      </c>
      <c r="Z28" s="425" t="s">
        <v>677</v>
      </c>
      <c r="AA28" s="426" t="str">
        <f ca="1">+MID(INDEX(WORLDCUP!$AF$101:$AF$147,MATCH(Y28,WORLDCUP!$Z$101:$Z$147,0)),1,3)</f>
        <v>Paí</v>
      </c>
      <c r="AB28" s="453">
        <f>+IF(ISBLANK(INDEX(WORLDCUP!$AD$101:$AD$147,MATCH(Y28,WORLDCUP!$Z$101:$Z$147,0))),"",INDEX(WORLDCUP!$AD$101:$AD$147,MATCH(Y28,WORLDCUP!$Z$101:$Z$147,0)))</f>
        <v>3</v>
      </c>
      <c r="AC28" s="454" t="str">
        <f>+IF(ISBLANK(INDEX(WORLDCUP!$AE$101:$AE$147,MATCH(Y28,WORLDCUP!$Z$101:$Z$147,0))),"","( "&amp;INDEX(WORLDCUP!$AE$101:$AE$147,MATCH(Y28,WORLDCUP!$Z$101:$Z$147,0))&amp;" )")</f>
        <v/>
      </c>
      <c r="AD28" s="455">
        <v>91</v>
      </c>
      <c r="AE28" s="456" t="str">
        <f ca="1">+MID(INDEX(WORLDCUP!$AA$101:$AA$147,MATCH(AD28,WORLDCUP!$Z$101:$Z$147,0)),1,3)</f>
        <v>Paí</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2</v>
      </c>
      <c r="F29" s="446" t="str">
        <f ca="1">+MID(INDEX(WORLDCUP!$AF$4:$AF$147,MATCH(A29,WORLDCUP!$AH$4:$AH$147,0)),1,3)</f>
        <v>Aus</v>
      </c>
      <c r="G29" s="467">
        <v>2</v>
      </c>
      <c r="H29" s="468" t="str">
        <f ca="1">+MID(INDEX(WORLDCUP!$AL$6:$AL$97,MATCH(L29,WORLDCUP!$AI$6:$AI$97,0)),1,3)</f>
        <v>Par</v>
      </c>
      <c r="I29" s="38">
        <f ca="1">+INDEX(WORLDCUP!$AM$6:$AM$97,MATCH(L29,WORLDCUP!$AI$6:$AI$97,0))</f>
        <v>4</v>
      </c>
      <c r="J29" s="39">
        <f ca="1">+INDEX(WORLDCUP!$AT$6:$AT$97,MATCH(L29,WORLDCUP!$AI$6:$AI$97,0))</f>
        <v>-1</v>
      </c>
      <c r="K29" s="43" t="str">
        <f ca="1">+INDEX(WORLDCUP!$AR$6:$AR$97,MATCH(L29,WORLDCUP!$AI$6:$AI$97,0))&amp;"-"&amp;INDEX(WORLDCUP!$AS$6:$AS$97,MATCH(L29,WORLDCUP!$AI$6:$AI$97,0))</f>
        <v>2-3</v>
      </c>
      <c r="L29" s="181" t="s">
        <v>671</v>
      </c>
      <c r="M29" s="181">
        <v>43</v>
      </c>
      <c r="N29" s="545"/>
      <c r="O29" s="444" t="str">
        <f ca="1">+MID(INDEX(WORLDCUP!$AA$4:$AA$147,MATCH(M29,WORLDCUP!$AH$4:$AH$147,0)),1,3)</f>
        <v>Arg</v>
      </c>
      <c r="P29" s="445">
        <f>IF(ISBLANK(INDEX(WORLDCUP!$AC$4:$AC$147,MATCH(M29,WORLDCUP!$AH$4:$AH$147,0))),"",INDEX(WORLDCUP!$AC$4:$AC$147,MATCH(M29,WORLDCUP!$AH$4:$AH$147,0)))</f>
        <v>0</v>
      </c>
      <c r="Q29" s="445">
        <f>IF(ISBLANK(INDEX(WORLDCUP!$AD$4:$AD$147,MATCH(M29,WORLDCUP!$AH$4:$AH$147,0))),"",INDEX(WORLDCUP!$AD$4:$AD$147,MATCH(M29,WORLDCUP!$AH$4:$AH$147,0)))</f>
        <v>3</v>
      </c>
      <c r="R29" s="446" t="str">
        <f ca="1">+MID(INDEX(WORLDCUP!$AF$4:$AF$147,MATCH(M29,WORLDCUP!$AH$4:$AH$147,0)),1,3)</f>
        <v>Aus</v>
      </c>
      <c r="S29" s="467">
        <v>2</v>
      </c>
      <c r="T29" s="468" t="str">
        <f ca="1">+MID(INDEX(WORLDCUP!$AL$6:$AL$97,MATCH(X29,WORLDCUP!$AI$6:$AI$97,0)),1,3)</f>
        <v>Arg</v>
      </c>
      <c r="U29" s="38">
        <f ca="1">+INDEX(WORLDCUP!$AM$6:$AM$97,MATCH(X29,WORLDCUP!$AI$6:$AI$97,0))</f>
        <v>6</v>
      </c>
      <c r="V29" s="39">
        <f ca="1">+INDEX(WORLDCUP!$AT$6:$AT$97,MATCH(X29,WORLDCUP!$AI$6:$AI$97,0))</f>
        <v>-1</v>
      </c>
      <c r="W29" s="43" t="str">
        <f ca="1">+INDEX(WORLDCUP!$AR$6:$AR$97,MATCH(X29,WORLDCUP!$AI$6:$AI$97,0))&amp;"-"&amp;INDEX(WORLDCUP!$AS$6:$AS$97,MATCH(X29,WORLDCUP!$AI$6:$AI$97,0))</f>
        <v>4-5</v>
      </c>
      <c r="X29" s="181" t="s">
        <v>689</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2</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Est</v>
      </c>
      <c r="I30" s="38">
        <f ca="1">+INDEX(WORLDCUP!$AM$6:$AM$97,MATCH(L30,WORLDCUP!$AI$6:$AI$97,0))</f>
        <v>2</v>
      </c>
      <c r="J30" s="39">
        <f ca="1">+INDEX(WORLDCUP!$AT$6:$AT$97,MATCH(L30,WORLDCUP!$AI$6:$AI$97,0))</f>
        <v>-2</v>
      </c>
      <c r="K30" s="43" t="str">
        <f ca="1">+INDEX(WORLDCUP!$AR$6:$AR$97,MATCH(L30,WORLDCUP!$AI$6:$AI$97,0))&amp;"-"&amp;INDEX(WORLDCUP!$AS$6:$AS$97,MATCH(L30,WORLDCUP!$AI$6:$AI$97,0))</f>
        <v>4-6</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3</v>
      </c>
      <c r="V30" s="39">
        <f ca="1">+INDEX(WORLDCUP!$AT$6:$AT$97,MATCH(X30,WORLDCUP!$AI$6:$AI$97,0))</f>
        <v>-1</v>
      </c>
      <c r="W30" s="43" t="str">
        <f ca="1">+INDEX(WORLDCUP!$AR$6:$AR$97,MATCH(X30,WORLDCUP!$AI$6:$AI$97,0))&amp;"-"&amp;INDEX(WORLDCUP!$AS$6:$AS$97,MATCH(X30,WORLDCUP!$AI$6:$AI$97,0))</f>
        <v>4-5</v>
      </c>
      <c r="X30" s="181" t="s">
        <v>451</v>
      </c>
      <c r="Y30" s="181">
        <v>78</v>
      </c>
      <c r="Z30" s="425" t="s">
        <v>674</v>
      </c>
      <c r="AA30" s="426" t="str">
        <f ca="1">+MID(INDEX(WORLDCUP!$AA$101:$AA$147,MATCH(Y30,WORLDCUP!$Z$101:$Z$147,0)),1,3)</f>
        <v>Ecu</v>
      </c>
      <c r="AB30" s="472">
        <f>+IF(ISBLANK(INDEX(WORLDCUP!$AC$101:$AC$147,MATCH(Y30,WORLDCUP!$Z$101:$Z$147,0))),"",INDEX(WORLDCUP!$AC$101:$AC$147,MATCH(Y30,WORLDCUP!$Z$101:$Z$147,0)))</f>
        <v>0</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-2</v>
      </c>
      <c r="K31" s="479" t="str">
        <f ca="1">+INDEX(WORLDCUP!$AR$6:$AR$97,MATCH(L31,WORLDCUP!$AI$6:$AI$97,0))&amp;"-"&amp;INDEX(WORLDCUP!$AS$6:$AS$97,MATCH(L31,WORLDCUP!$AI$6:$AI$97,0))</f>
        <v>3-5</v>
      </c>
      <c r="L31" s="181" t="s">
        <v>672</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-3</v>
      </c>
      <c r="W31" s="479" t="str">
        <f ca="1">+INDEX(WORLDCUP!$AR$6:$AR$97,MATCH(X31,WORLDCUP!$AI$6:$AI$97,0))&amp;"-"&amp;INDEX(WORLDCUP!$AS$6:$AS$97,MATCH(X31,WORLDCUP!$AI$6:$AI$97,0))</f>
        <v>2-5</v>
      </c>
      <c r="X31" s="181" t="s">
        <v>690</v>
      </c>
      <c r="Y31" s="181">
        <v>78</v>
      </c>
      <c r="Z31" s="425" t="s">
        <v>686</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Nor</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0</v>
      </c>
      <c r="BJ31" s="464">
        <f ca="1">COUNTIF(Pool!$C$182:$C$197,Fixture!BG31)-BK31-BL31-BM31-BN31-BO31</f>
        <v>1</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1</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Cro</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Croa</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Sud</v>
      </c>
      <c r="AB33" s="427">
        <f>+IF(ISBLANK(INDEX(WORLDCUP!$AC$101:$AC$147,MATCH(Y33,WORLDCUP!$Z$101:$Z$147,0))),"",INDEX(WORLDCUP!$AC$101:$AC$147,MATCH(Y33,WORLDCUP!$Z$101:$Z$147,0)))</f>
        <v>1</v>
      </c>
      <c r="AC33" s="498" t="str">
        <f>+IF(ISBLANK(INDEX(WORLDCUP!$AB$101:$AB$147,MATCH(Y33,WORLDCUP!$Z$101:$Z$147,0))),"","( "&amp;INDEX(WORLDCUP!$AB$101:$AB$147,MATCH(Y33,WORLDCUP!$Z$101:$Z$147,0))&amp;" )")</f>
        <v>( 5 )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Cos</v>
      </c>
      <c r="AB34" s="453">
        <f>+IF(ISBLANK(INDEX(WORLDCUP!$AD$101:$AD$147,MATCH(Y34,WORLDCUP!$Z$101:$Z$147,0))),"",INDEX(WORLDCUP!$AD$101:$AD$147,MATCH(Y34,WORLDCUP!$Z$101:$Z$147,0)))</f>
        <v>1</v>
      </c>
      <c r="AC34" s="454" t="str">
        <f>+IF(ISBLANK(INDEX(WORLDCUP!$AE$101:$AE$147,MATCH(Y34,WORLDCUP!$Z$101:$Z$147,0))),"","( "&amp;INDEX(WORLDCUP!$AE$101:$AE$147,MATCH(Y34,WORLDCUP!$Z$101:$Z$147,0))&amp;" )")</f>
        <v>( 3 )</v>
      </c>
      <c r="AD34" s="455">
        <v>92</v>
      </c>
      <c r="AE34" s="456" t="str">
        <f ca="1">+MID(INDEX(WORLDCUP!$AA$101:$AA$147,MATCH(AD34,WORLDCUP!$Z$101:$Z$147,0)),1,3)</f>
        <v>Sud</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6</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Cro</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9</v>
      </c>
      <c r="K36" s="451" t="str">
        <f ca="1">+INDEX(WORLDCUP!$AR$6:$AR$97,MATCH(L36,WORLDCUP!$AI$6:$AI$97,0))&amp;"-"&amp;INDEX(WORLDCUP!$AS$6:$AS$97,MATCH(L36,WORLDCUP!$AI$6:$AI$97,0))</f>
        <v>9-0</v>
      </c>
      <c r="L36" s="181" t="s">
        <v>673</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5</v>
      </c>
      <c r="W36" s="451" t="str">
        <f ca="1">+INDEX(WORLDCUP!$AR$6:$AR$97,MATCH(X36,WORLDCUP!$AI$6:$AI$97,0))&amp;"-"&amp;INDEX(WORLDCUP!$AS$6:$AS$97,MATCH(X36,WORLDCUP!$AI$6:$AI$97,0))</f>
        <v>7-2</v>
      </c>
      <c r="X36" s="181" t="s">
        <v>691</v>
      </c>
      <c r="Y36" s="181">
        <v>80</v>
      </c>
      <c r="Z36" s="425" t="s">
        <v>694</v>
      </c>
      <c r="AA36" s="426" t="str">
        <f ca="1">+MID(INDEX(WORLDCUP!$AA$101:$AA$147,MATCH(Y36,WORLDCUP!$Z$101:$Z$147,0)),1,3)</f>
        <v>Cro</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0</v>
      </c>
      <c r="BK36" s="465">
        <f ca="1">COUNTIF(Pool!$C$210:$C$217,Fixture!BG36)-BL36-BM36-BN36-BO36</f>
        <v>1</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3-2</v>
      </c>
      <c r="L37" s="181" t="s">
        <v>674</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692</v>
      </c>
      <c r="Y37" s="181">
        <v>80</v>
      </c>
      <c r="Z37" s="425" t="s">
        <v>737</v>
      </c>
      <c r="AA37" s="480" t="str">
        <f ca="1">+MID(INDEX(WORLDCUP!$AF$101:$AF$147,MATCH(Y37,WORLDCUP!$Z$101:$Z$147,0)),1,IF(WORLDCUP!$H$113&lt;144,6,3))</f>
        <v>Sen</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Cro</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1</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-3</v>
      </c>
      <c r="W38" s="43" t="str">
        <f ca="1">+INDEX(WORLDCUP!$AR$6:$AR$97,MATCH(X38,WORLDCUP!$AI$6:$AI$97,0))&amp;"-"&amp;INDEX(WORLDCUP!$AS$6:$AS$97,MATCH(X38,WORLDCUP!$AI$6:$AI$97,0))</f>
        <v>3-6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3</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1</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1-10</v>
      </c>
      <c r="L39" s="181" t="s">
        <v>675</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-5</v>
      </c>
      <c r="W39" s="479" t="str">
        <f ca="1">+INDEX(WORLDCUP!$AR$6:$AR$97,MATCH(X39,WORLDCUP!$AI$6:$AI$97,0))&amp;"-"&amp;INDEX(WORLDCUP!$AS$6:$AS$97,MATCH(X39,WORLDCUP!$AI$6:$AI$97,0))</f>
        <v>1-6</v>
      </c>
      <c r="X39" s="181" t="s">
        <v>693</v>
      </c>
      <c r="Y39" s="181">
        <v>86</v>
      </c>
      <c r="Z39" s="425" t="s">
        <v>688</v>
      </c>
      <c r="AA39" s="426" t="str">
        <f ca="1">+MID(INDEX(WORLDCUP!$AA$101:$AA$147,MATCH(Y39,WORLDCUP!$Z$101:$Z$147,0)),1,3)</f>
        <v>Aus</v>
      </c>
      <c r="AB39" s="427">
        <f>+IF(ISBLANK(INDEX(WORLDCUP!$AC$101:$AC$147,MATCH(Y39,WORLDCUP!$Z$101:$Z$147,0))),"",INDEX(WORLDCUP!$AC$101:$AC$147,MATCH(Y39,WORLDCUP!$Z$101:$Z$147,0)))</f>
        <v>0</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0</v>
      </c>
      <c r="BI39" s="463">
        <f ca="1">COUNTIF(Pool!$C$130:$C$161,Fixture!BG39)-BJ39-BK39-BL39-BM39-BN39-BO39</f>
        <v>1</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2</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Uru</v>
      </c>
      <c r="AB40" s="453">
        <f>+IF(ISBLANK(INDEX(WORLDCUP!$AD$101:$AD$147,MATCH(Y40,WORLDCUP!$Z$101:$Z$147,0))),"",INDEX(WORLDCUP!$AD$101:$AD$147,MATCH(Y40,WORLDCUP!$Z$101:$Z$147,0)))</f>
        <v>2</v>
      </c>
      <c r="AC40" s="454" t="str">
        <f>+IF(ISBLANK(INDEX(WORLDCUP!$AE$101:$AE$147,MATCH(Y40,WORLDCUP!$Z$101:$Z$147,0))),"","( "&amp;INDEX(WORLDCUP!$AE$101:$AE$147,MATCH(Y40,WORLDCUP!$Z$101:$Z$147,0))&amp;" )")</f>
        <v/>
      </c>
      <c r="AD40" s="455">
        <v>95</v>
      </c>
      <c r="AE40" s="456" t="str">
        <f ca="1">+MID(INDEX(WORLDCUP!$AA$101:$AA$147,MATCH(AD40,WORLDCUP!$Z$101:$Z$147,0)),1,3)</f>
        <v>Uru</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Irá</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Par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Irá</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Uru</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3</v>
      </c>
      <c r="F44" s="446" t="str">
        <f ca="1">+MID(INDEX(WORLDCUP!$AF$4:$AF$147,MATCH(A44,WORLDCUP!$AH$4:$AH$147,0)),1,3)</f>
        <v>Tún</v>
      </c>
      <c r="G44" s="447">
        <v>1</v>
      </c>
      <c r="H44" s="448" t="str">
        <f ca="1">+MID(INDEX(WORLDCUP!$AL$6:$AL$97,MATCH(L44,WORLDCUP!$AI$6:$AI$97,0)),1,3)</f>
        <v>Jap</v>
      </c>
      <c r="I44" s="449">
        <f ca="1">+INDEX(WORLDCUP!$AM$6:$AM$97,MATCH(L44,WORLDCUP!$AI$6:$AI$97,0))</f>
        <v>7</v>
      </c>
      <c r="J44" s="450">
        <f ca="1">+INDEX(WORLDCUP!$AT$6:$AT$97,MATCH(L44,WORLDCUP!$AI$6:$AI$97,0))</f>
        <v>2</v>
      </c>
      <c r="K44" s="451" t="str">
        <f ca="1">+INDEX(WORLDCUP!$AR$6:$AR$97,MATCH(L44,WORLDCUP!$AI$6:$AI$97,0))&amp;"-"&amp;INDEX(WORLDCUP!$AS$6:$AS$97,MATCH(L44,WORLDCUP!$AI$6:$AI$97,0))</f>
        <v>5-3</v>
      </c>
      <c r="L44" s="181" t="s">
        <v>676</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2</v>
      </c>
      <c r="R44" s="446" t="str">
        <f ca="1">+MID(INDEX(WORLDCUP!$AF$4:$AF$147,MATCH(M44,WORLDCUP!$AH$4:$AH$147,0)),1,3)</f>
        <v>Pan</v>
      </c>
      <c r="S44" s="447">
        <v>1</v>
      </c>
      <c r="T44" s="448" t="str">
        <f ca="1">+MID(INDEX(WORLDCUP!$AL$6:$AL$97,MATCH(X44,WORLDCUP!$AI$6:$AI$97,0)),1,3)</f>
        <v>Cro</v>
      </c>
      <c r="U44" s="449">
        <f ca="1">+INDEX(WORLDCUP!$AM$6:$AM$97,MATCH(X44,WORLDCUP!$AI$6:$AI$97,0))</f>
        <v>9</v>
      </c>
      <c r="V44" s="450">
        <f ca="1">+INDEX(WORLDCUP!$AT$6:$AT$97,MATCH(X44,WORLDCUP!$AI$6:$AI$97,0))</f>
        <v>7</v>
      </c>
      <c r="W44" s="451" t="str">
        <f ca="1">+INDEX(WORLDCUP!$AR$6:$AR$97,MATCH(X44,WORLDCUP!$AI$6:$AI$97,0))&amp;"-"&amp;INDEX(WORLDCUP!$AS$6:$AS$97,MATCH(X44,WORLDCUP!$AI$6:$AI$97,0))</f>
        <v>9-2</v>
      </c>
      <c r="X44" s="181" t="s">
        <v>694</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Paí</v>
      </c>
      <c r="I45" s="38">
        <f ca="1">+INDEX(WORLDCUP!$AM$6:$AM$97,MATCH(L45,WORLDCUP!$AI$6:$AI$97,0))</f>
        <v>6</v>
      </c>
      <c r="J45" s="39">
        <f ca="1">+INDEX(WORLDCUP!$AT$6:$AT$97,MATCH(L45,WORLDCUP!$AI$6:$AI$97,0))</f>
        <v>2</v>
      </c>
      <c r="K45" s="43" t="str">
        <f ca="1">+INDEX(WORLDCUP!$AR$6:$AR$97,MATCH(L45,WORLDCUP!$AI$6:$AI$97,0))&amp;"-"&amp;INDEX(WORLDCUP!$AS$6:$AS$97,MATCH(L45,WORLDCUP!$AI$6:$AI$97,0))</f>
        <v>5-3</v>
      </c>
      <c r="L45" s="181" t="s">
        <v>677</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Ing</v>
      </c>
      <c r="U45" s="38">
        <f ca="1">+INDEX(WORLDCUP!$AM$6:$AM$97,MATCH(X45,WORLDCUP!$AI$6:$AI$97,0))</f>
        <v>6</v>
      </c>
      <c r="V45" s="39">
        <f ca="1">+INDEX(WORLDCUP!$AT$6:$AT$97,MATCH(X45,WORLDCUP!$AI$6:$AI$97,0))</f>
        <v>1</v>
      </c>
      <c r="W45" s="43" t="str">
        <f ca="1">+INDEX(WORLDCUP!$AR$6:$AR$97,MATCH(X45,WORLDCUP!$AI$6:$AI$97,0))&amp;"-"&amp;INDEX(WORLDCUP!$AS$6:$AS$97,MATCH(X45,WORLDCUP!$AI$6:$AI$97,0))</f>
        <v>5-4</v>
      </c>
      <c r="X45" s="181" t="s">
        <v>695</v>
      </c>
      <c r="Y45" s="181">
        <v>85</v>
      </c>
      <c r="Z45" s="425" t="s">
        <v>660</v>
      </c>
      <c r="AA45" s="426" t="str">
        <f ca="1">+MID(INDEX(WORLDCUP!$AA$101:$AA$147,MATCH(Y45,WORLDCUP!$Z$101:$Z$147,0)),1,3)</f>
        <v>Can</v>
      </c>
      <c r="AB45" s="427">
        <f>+IF(ISBLANK(INDEX(WORLDCUP!$AC$101:$AC$147,MATCH(Y45,WORLDCUP!$Z$101:$Z$147,0))),"",INDEX(WORLDCUP!$AC$101:$AC$147,MATCH(Y45,WORLDCUP!$Z$101:$Z$147,0)))</f>
        <v>2</v>
      </c>
      <c r="AC45" s="498" t="str">
        <f>+IF(ISBLANK(INDEX(WORLDCUP!$AB$101:$AB$147,MATCH(Y45,WORLDCUP!$Z$101:$Z$147,0))),"","( "&amp;INDEX(WORLDCUP!$AB$101:$AB$147,MATCH(Y45,WORLDCUP!$Z$101:$Z$147,0))&amp;" )")</f>
        <v>( 3 )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0</v>
      </c>
      <c r="BJ45" s="464">
        <f ca="1">COUNTIF(Pool!$C$182:$C$197,Fixture!BG45)-BK45-BL45-BM45-BN45-BO45</f>
        <v>1</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Tún</v>
      </c>
      <c r="I46" s="38">
        <f ca="1">+INDEX(WORLDCUP!$AM$6:$AM$97,MATCH(L46,WORLDCUP!$AI$6:$AI$97,0))</f>
        <v>3</v>
      </c>
      <c r="J46" s="39">
        <f ca="1">+INDEX(WORLDCUP!$AT$6:$AT$97,MATCH(L46,WORLDCUP!$AI$6:$AI$97,0))</f>
        <v>0</v>
      </c>
      <c r="K46" s="43" t="str">
        <f ca="1">+INDEX(WORLDCUP!$AR$6:$AR$97,MATCH(L46,WORLDCUP!$AI$6:$AI$97,0))&amp;"-"&amp;INDEX(WORLDCUP!$AS$6:$AS$97,MATCH(L46,WORLDCUP!$AI$6:$AI$97,0))</f>
        <v>4-4</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3</v>
      </c>
      <c r="R46" s="446" t="str">
        <f ca="1">+MID(INDEX(WORLDCUP!$AF$4:$AF$147,MATCH(M46,WORLDCUP!$AH$4:$AH$147,0)),1,3)</f>
        <v>Cro</v>
      </c>
      <c r="S46" s="467">
        <v>3</v>
      </c>
      <c r="T46" s="468" t="str">
        <f ca="1">+MID(INDEX(WORLDCUP!$AL$6:$AL$97,MATCH(X46,WORLDCUP!$AI$6:$AI$97,0)),1,3)</f>
        <v>Pan</v>
      </c>
      <c r="U46" s="38">
        <f ca="1">+INDEX(WORLDCUP!$AM$6:$AM$97,MATCH(X46,WORLDCUP!$AI$6:$AI$97,0))</f>
        <v>3</v>
      </c>
      <c r="V46" s="39">
        <f ca="1">+INDEX(WORLDCUP!$AT$6:$AT$97,MATCH(X46,WORLDCUP!$AI$6:$AI$97,0))</f>
        <v>-2</v>
      </c>
      <c r="W46" s="43" t="str">
        <f ca="1">+INDEX(WORLDCUP!$AR$6:$AR$97,MATCH(X46,WORLDCUP!$AI$6:$AI$97,0))&amp;"-"&amp;INDEX(WORLDCUP!$AS$6:$AS$97,MATCH(X46,WORLDCUP!$AI$6:$AI$97,0))</f>
        <v>4-6</v>
      </c>
      <c r="X46" s="181" t="s">
        <v>453</v>
      </c>
      <c r="Y46" s="181">
        <v>85</v>
      </c>
      <c r="Z46" s="425" t="s">
        <v>740</v>
      </c>
      <c r="AA46" s="426" t="str">
        <f ca="1">+MID(INDEX(WORLDCUP!$AF$101:$AF$147,MATCH(Y46,WORLDCUP!$Z$101:$Z$147,0)),1,IF(WORLDCUP!$H$113&lt;144,6,3))</f>
        <v>Arg</v>
      </c>
      <c r="AB46" s="453">
        <f>+IF(ISBLANK(INDEX(WORLDCUP!$AD$101:$AD$147,MATCH(Y46,WORLDCUP!$Z$101:$Z$147,0))),"",INDEX(WORLDCUP!$AD$101:$AD$147,MATCH(Y46,WORLDCUP!$Z$101:$Z$147,0)))</f>
        <v>2</v>
      </c>
      <c r="AC46" s="454" t="str">
        <f>+IF(ISBLANK(INDEX(WORLDCUP!$AE$101:$AE$147,MATCH(Y46,WORLDCUP!$Z$101:$Z$147,0))),"","( "&amp;INDEX(WORLDCUP!$AE$101:$AE$147,MATCH(Y46,WORLDCUP!$Z$101:$Z$147,0))&amp;" )")</f>
        <v>( 4 )</v>
      </c>
      <c r="AD46" s="455">
        <v>96</v>
      </c>
      <c r="AE46" s="456" t="str">
        <f ca="1">+MID(INDEX(WORLDCUP!$AA$101:$AA$147,MATCH(AD46,WORLDCUP!$Z$101:$Z$147,0)),1,3)</f>
        <v>Arg</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Sue</v>
      </c>
      <c r="I47" s="477">
        <f ca="1">+INDEX(WORLDCUP!$AM$6:$AM$97,MATCH(L47,WORLDCUP!$AI$6:$AI$97,0))</f>
        <v>1</v>
      </c>
      <c r="J47" s="478">
        <f ca="1">+INDEX(WORLDCUP!$AT$6:$AT$97,MATCH(L47,WORLDCUP!$AI$6:$AI$97,0))</f>
        <v>-4</v>
      </c>
      <c r="K47" s="479" t="str">
        <f ca="1">+INDEX(WORLDCUP!$AR$6:$AR$97,MATCH(L47,WORLDCUP!$AI$6:$AI$97,0))&amp;"-"&amp;INDEX(WORLDCUP!$AS$6:$AS$97,MATCH(L47,WORLDCUP!$AI$6:$AI$97,0))</f>
        <v>3-7</v>
      </c>
      <c r="L47" s="181" t="s">
        <v>678</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Gha</v>
      </c>
      <c r="U47" s="477">
        <f ca="1">+INDEX(WORLDCUP!$AM$6:$AM$97,MATCH(X47,WORLDCUP!$AI$6:$AI$97,0))</f>
        <v>0</v>
      </c>
      <c r="V47" s="478">
        <f ca="1">+INDEX(WORLDCUP!$AT$6:$AT$97,MATCH(X47,WORLDCUP!$AI$6:$AI$97,0))</f>
        <v>-6</v>
      </c>
      <c r="W47" s="479" t="str">
        <f ca="1">+INDEX(WORLDCUP!$AR$6:$AR$97,MATCH(X47,WORLDCUP!$AI$6:$AI$97,0))&amp;"-"&amp;INDEX(WORLDCUP!$AS$6:$AS$97,MATCH(X47,WORLDCUP!$AI$6:$AI$97,0))</f>
        <v>2-8</v>
      </c>
      <c r="X47" s="181" t="s">
        <v>696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1</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4</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0</v>
      </c>
      <c r="BI48" s="463">
        <f ca="1">COUNTIF(Pool!$C$130:$C$161,Fixture!BG48)-BJ48-BK48-BL48-BM48-BN48-BO48</f>
        <v>1</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Pan</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0</v>
      </c>
      <c r="BJ50" s="464">
        <f ca="1">COUNTIF(Pool!$C$182:$C$197,Fixture!BG50)-BK50-BL50-BM50-BN50-BO50</f>
        <v>0</v>
      </c>
      <c r="BK50" s="465">
        <f ca="1">COUNTIF(Pool!$C$210:$C$217,Fixture!BG50)-BL50-BM50-BN50-BO50</f>
        <v>1</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109375" defaultRowHeight="15"/>
  <cols>
    <col min="1" max="3" width="10.7109375" style="16"/>
    <col min="4" max="4" width="17.28515625" style="16" bestFit="1" customWidth="1"/>
    <col min="5" max="6" width="10.7109375" style="16"/>
    <col min="7" max="7" width="17.28515625" style="16" bestFit="1" customWidth="1"/>
    <col min="8" max="8" width="13" style="16" customWidth="1"/>
    <col min="9" max="9" width="10.7109375" style="16"/>
    <col min="10" max="10" width="13" style="16" bestFit="1" customWidth="1"/>
    <col min="11" max="12" width="12.28515625" style="16" bestFit="1" customWidth="1"/>
    <col min="13" max="16384" width="10.7109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c r="B6" s="606"/>
      <c r="D6" s="16" t="str">
        <f t="shared" si="0"/>
        <v>Predictor Equipos</v>
      </c>
      <c r="E6" s="16" t="s">
        <v>23</v>
      </c>
      <c r="G6" s="582" t="s">
        <v>1303</v>
      </c>
      <c r="H6" s="582"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606"/>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93"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82" t="s">
        <v>1238</v>
      </c>
      <c r="H67" s="582" t="s">
        <v>1239</v>
      </c>
    </row>
    <row r="68" spans="3:8">
      <c r="D68" s="16" t="str">
        <f t="shared" si="2"/>
        <v xml:space="preserve">Grupos mejores 3ºs: </v>
      </c>
      <c r="E68" s="16" t="s">
        <v>490</v>
      </c>
      <c r="G68" s="582" t="s">
        <v>1347</v>
      </c>
      <c r="H68" s="582"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1515</v>
      </c>
      <c r="H107" s="16" t="s">
        <v>1412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82" t="s">
        <v>1419</v>
      </c>
      <c r="H121" s="582" t="s">
        <v>1420</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82"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82" t="s">
        <v>227</v>
      </c>
    </row>
    <row r="259" spans="4:8">
      <c r="D259" s="16" t="str">
        <f t="shared" si="9"/>
        <v>Cuartos de final</v>
      </c>
      <c r="E259" s="16" t="s">
        <v>1248</v>
      </c>
      <c r="G259" s="16" t="s">
        <v>71</v>
      </c>
      <c r="H259" s="582" t="s">
        <v>226</v>
      </c>
    </row>
    <row r="260" spans="4:8">
      <c r="D260" s="16" t="str">
        <f t="shared" si="9"/>
        <v>Octavos de final</v>
      </c>
      <c r="E260" s="16" t="s">
        <v>1248</v>
      </c>
      <c r="G260" s="16" t="s">
        <v>88</v>
      </c>
      <c r="H260" s="582"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82" t="s">
        <v>1250</v>
      </c>
    </row>
    <row r="263" spans="4:8">
      <c r="D263" s="16" t="str">
        <f t="shared" si="9"/>
        <v>Pronóstica la ronda</v>
      </c>
      <c r="E263" s="16" t="s">
        <v>1248</v>
      </c>
      <c r="G263" s="582" t="s">
        <v>1242</v>
      </c>
      <c r="H263" s="582" t="s">
        <v>1243</v>
      </c>
    </row>
    <row r="264" spans="4:8">
      <c r="D264" s="16" t="str">
        <f t="shared" si="9"/>
        <v>Predice la selección</v>
      </c>
      <c r="E264" s="16" t="s">
        <v>1248</v>
      </c>
      <c r="G264" s="582" t="s">
        <v>1251</v>
      </c>
      <c r="H264" s="582" t="s">
        <v>1252</v>
      </c>
    </row>
    <row r="265" spans="4:8">
      <c r="D265" s="16" t="str">
        <f t="shared" si="9"/>
        <v>Ronda</v>
      </c>
      <c r="E265" s="16" t="s">
        <v>1248</v>
      </c>
      <c r="G265" s="582" t="s">
        <v>1244</v>
      </c>
      <c r="H265" s="582" t="s">
        <v>1245</v>
      </c>
    </row>
    <row r="266" spans="4:8">
      <c r="D266" s="16" t="str">
        <f t="shared" si="9"/>
        <v>·Selecciona para cada ronda el la selección o selecciones que crees que van a llegar hasta esa ronda.</v>
      </c>
      <c r="E266" s="16" t="s">
        <v>1248</v>
      </c>
      <c r="G266" s="16" t="s">
        <v>1253</v>
      </c>
      <c r="H266" s="582" t="s">
        <v>1259</v>
      </c>
    </row>
    <row r="267" spans="4:8">
      <c r="D267" s="16" t="str">
        <f t="shared" si="9"/>
        <v>·Una vez elijas una selección, dejará de aparecer en la lista</v>
      </c>
      <c r="E267" s="16" t="s">
        <v>1248</v>
      </c>
      <c r="G267" s="16" t="s">
        <v>1260</v>
      </c>
      <c r="H267" s="582" t="s">
        <v>1258</v>
      </c>
    </row>
    <row r="268" spans="4:8">
      <c r="D268" s="16" t="str">
        <f t="shared" si="9"/>
        <v xml:space="preserve">·Si has rellenado todos y quieres hacer un cambio, </v>
      </c>
      <c r="E268" s="16" t="s">
        <v>1248</v>
      </c>
      <c r="G268" s="16" t="s">
        <v>1246</v>
      </c>
      <c r="H268" s="582" t="s">
        <v>1247</v>
      </c>
    </row>
    <row r="269" spans="4:8">
      <c r="D269" s="16" t="str">
        <f t="shared" si="9"/>
        <v xml:space="preserve"> borra las selecciones que quieras cambiar y podrás volver a elegirlas</v>
      </c>
      <c r="E269" s="16" t="s">
        <v>1248</v>
      </c>
      <c r="G269" s="16" t="s">
        <v>1254</v>
      </c>
      <c r="H269" s="582" t="s">
        <v>1257</v>
      </c>
    </row>
    <row r="270" spans="4:8">
      <c r="D270" s="16" t="str">
        <f t="shared" si="9"/>
        <v>Rellenar antes del comienzo del Mundial</v>
      </c>
      <c r="E270" s="16" t="s">
        <v>1248</v>
      </c>
      <c r="G270" s="16" t="s">
        <v>1255</v>
      </c>
      <c r="H270" s="582"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109375" defaultRowHeight="15"/>
  <cols>
    <col min="1" max="1" width="9.42578125" style="16" bestFit="1" customWidth="1"/>
    <col min="2" max="2" width="6" style="16" bestFit="1" customWidth="1"/>
    <col min="3" max="13" width="10.7109375" style="16"/>
    <col min="14" max="14" width="9.42578125" style="16" bestFit="1" customWidth="1"/>
    <col min="15" max="15" width="6.42578125" style="16" bestFit="1" customWidth="1"/>
    <col min="16" max="16384" width="10.7109375" style="16"/>
  </cols>
  <sheetData>
    <row r="1" spans="1:23">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c r="A2" s="9" t="s">
        <v>489</v>
      </c>
      <c r="B2" s="9">
        <f ca="1">+IF(A2=WORLDCUP!$BI$112,1,0)</f>
        <v>0</v>
      </c>
      <c r="C2" s="9" t="str">
        <f ca="1">+WORLDCUP!BD62</f>
        <v>Costa de Marfil</v>
      </c>
      <c r="D2" s="9" t="str">
        <f ca="1">+WORLDCUP!BD67</f>
        <v>Argelia</v>
      </c>
      <c r="E2" s="9" t="str">
        <f ca="1">+WORLDCUP!BD66</f>
        <v>Senegal</v>
      </c>
      <c r="F2" s="9" t="str">
        <f ca="1">+WORLDCUP!BD63</f>
        <v>Túnez</v>
      </c>
      <c r="G2" s="9" t="str">
        <f ca="1">+WORLDCUP!BD65</f>
        <v>Arabia Saudita</v>
      </c>
      <c r="H2" s="9" t="str">
        <f ca="1">+WORLDCUP!BD64</f>
        <v>Egipto</v>
      </c>
      <c r="I2" s="9" t="str">
        <f ca="1">+WORLDCUP!BD69</f>
        <v>Panamá</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Egipto</v>
      </c>
      <c r="E3" s="9" t="str">
        <f ca="1">+WORLDCUP!BD66</f>
        <v>Senegal</v>
      </c>
      <c r="F3" s="9" t="str">
        <f ca="1">+WORLDCUP!BD61</f>
        <v>Estados Unidos</v>
      </c>
      <c r="G3" s="9" t="str">
        <f ca="1">+WORLDCUP!BD67</f>
        <v>Argelia</v>
      </c>
      <c r="H3" s="9" t="str">
        <f ca="1">+WORLDCUP!BD63</f>
        <v>Túnez</v>
      </c>
      <c r="I3" s="9" t="str">
        <f ca="1">+WORLDCUP!BD69</f>
        <v>Panamá</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Estados Unidos</v>
      </c>
      <c r="G4" s="9" t="str">
        <f ca="1">+WORLDCUP!BD65</f>
        <v>Arabia Saudita</v>
      </c>
      <c r="H4" s="9" t="str">
        <f ca="1">+WORLDCUP!BD64</f>
        <v>Egipto</v>
      </c>
      <c r="I4" s="9" t="str">
        <f ca="1">+WORLDCUP!BD69</f>
        <v>Panamá</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Estados Unidos</v>
      </c>
      <c r="G5" s="9" t="str">
        <f ca="1">+WORLDCUP!BD65</f>
        <v>Arabia Saudita</v>
      </c>
      <c r="H5" s="9" t="str">
        <f ca="1">+WORLDCUP!BD63</f>
        <v>Túnez</v>
      </c>
      <c r="I5" s="9" t="str">
        <f ca="1">+WORLDCUP!BD69</f>
        <v>Panamá</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Egipto</v>
      </c>
      <c r="E6" s="9" t="str">
        <f ca="1">+WORLDCUP!BD66</f>
        <v>Senegal</v>
      </c>
      <c r="F6" s="9" t="str">
        <f ca="1">+WORLDCUP!BD61</f>
        <v>Estados Unidos</v>
      </c>
      <c r="G6" s="9" t="str">
        <f ca="1">+WORLDCUP!BD67</f>
        <v>Argelia</v>
      </c>
      <c r="H6" s="9" t="str">
        <f ca="1">+WORLDCUP!BD63</f>
        <v>Túnez</v>
      </c>
      <c r="I6" s="9" t="str">
        <f ca="1">+WORLDCUP!BD69</f>
        <v>Panamá</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Egipto</v>
      </c>
      <c r="E7" s="9" t="str">
        <f ca="1">+WORLDCUP!BD67</f>
        <v>Argelia</v>
      </c>
      <c r="F7" s="9" t="str">
        <f ca="1">+WORLDCUP!BD61</f>
        <v>Estados Unidos</v>
      </c>
      <c r="G7" s="9" t="str">
        <f ca="1">+WORLDCUP!BD65</f>
        <v>Arabia Saudita</v>
      </c>
      <c r="H7" s="9" t="str">
        <f ca="1">+WORLDCUP!BD63</f>
        <v>Túnez</v>
      </c>
      <c r="I7" s="9" t="str">
        <f ca="1">+WORLDCUP!BD69</f>
        <v>Panamá</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Egipto</v>
      </c>
      <c r="E8" s="9" t="str">
        <f ca="1">+WORLDCUP!BD66</f>
        <v>Senegal</v>
      </c>
      <c r="F8" s="9" t="str">
        <f ca="1">+WORLDCUP!BD61</f>
        <v>Estados Unidos</v>
      </c>
      <c r="G8" s="9" t="str">
        <f ca="1">+WORLDCUP!BD65</f>
        <v>Arabia Saudita</v>
      </c>
      <c r="H8" s="9" t="str">
        <f ca="1">+WORLDCUP!BD63</f>
        <v>Túnez</v>
      </c>
      <c r="I8" s="9" t="str">
        <f ca="1">+WORLDCUP!BD69</f>
        <v>Panamá</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Egipto</v>
      </c>
      <c r="E9" s="9" t="str">
        <f ca="1">+WORLDCUP!BD67</f>
        <v>Argelia</v>
      </c>
      <c r="F9" s="9" t="str">
        <f ca="1">+WORLDCUP!BD61</f>
        <v>Estados Unidos</v>
      </c>
      <c r="G9" s="9" t="str">
        <f ca="1">+WORLDCUP!BD65</f>
        <v>Arabia Saudita</v>
      </c>
      <c r="H9" s="9" t="str">
        <f ca="1">+WORLDCUP!BD63</f>
        <v>Túnez</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Egipto</v>
      </c>
      <c r="E10" s="9" t="str">
        <f ca="1">+WORLDCUP!BD67</f>
        <v>Argelia</v>
      </c>
      <c r="F10" s="9" t="str">
        <f ca="1">+WORLDCUP!BD61</f>
        <v>Estados Unidos</v>
      </c>
      <c r="G10" s="9" t="str">
        <f ca="1">+WORLDCUP!BD65</f>
        <v>Arabia Saudita</v>
      </c>
      <c r="H10" s="9" t="str">
        <f ca="1">+WORLDCUP!BD63</f>
        <v>Túnez</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Egipto</v>
      </c>
      <c r="E11" s="9" t="str">
        <f ca="1">+WORLDCUP!BD66</f>
        <v>Senegal</v>
      </c>
      <c r="F11" s="9" t="str">
        <f ca="1">+WORLDCUP!BD60</f>
        <v>Haití</v>
      </c>
      <c r="G11" s="9" t="str">
        <f ca="1">+WORLDCUP!BD67</f>
        <v>Argelia</v>
      </c>
      <c r="H11" s="9" t="str">
        <f ca="1">+WORLDCUP!BD63</f>
        <v>Túnez</v>
      </c>
      <c r="I11" s="9" t="str">
        <f ca="1">+WORLDCUP!BD69</f>
        <v>Panamá</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Haití</v>
      </c>
      <c r="G12" s="9" t="str">
        <f ca="1">+WORLDCUP!BD65</f>
        <v>Arabia Saudita</v>
      </c>
      <c r="H12" s="9" t="str">
        <f ca="1">+WORLDCUP!BD64</f>
        <v>Egipto</v>
      </c>
      <c r="I12" s="9" t="str">
        <f ca="1">+WORLDCUP!BD69</f>
        <v>Panamá</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Haití</v>
      </c>
      <c r="G13" s="9" t="str">
        <f ca="1">+WORLDCUP!BD65</f>
        <v>Arabia Saudita</v>
      </c>
      <c r="H13" s="9" t="str">
        <f ca="1">+WORLDCUP!BD63</f>
        <v>Túnez</v>
      </c>
      <c r="I13" s="9" t="str">
        <f ca="1">+WORLDCUP!BD69</f>
        <v>Panamá</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Egipto</v>
      </c>
      <c r="E14" s="9" t="str">
        <f ca="1">+WORLDCUP!BD66</f>
        <v>Senegal</v>
      </c>
      <c r="F14" s="9" t="str">
        <f ca="1">+WORLDCUP!BD60</f>
        <v>Haití</v>
      </c>
      <c r="G14" s="9" t="str">
        <f ca="1">+WORLDCUP!BD67</f>
        <v>Argelia</v>
      </c>
      <c r="H14" s="9" t="str">
        <f ca="1">+WORLDCUP!BD63</f>
        <v>Túnez</v>
      </c>
      <c r="I14" s="9" t="str">
        <f ca="1">+WORLDCUP!BD69</f>
        <v>Panamá</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Egipto</v>
      </c>
      <c r="E15" s="9" t="str">
        <f ca="1">+WORLDCUP!BD67</f>
        <v>Argelia</v>
      </c>
      <c r="F15" s="9" t="str">
        <f ca="1">+WORLDCUP!BD60</f>
        <v>Haití</v>
      </c>
      <c r="G15" s="9" t="str">
        <f ca="1">+WORLDCUP!BD65</f>
        <v>Arabia Saudita</v>
      </c>
      <c r="H15" s="9" t="str">
        <f ca="1">+WORLDCUP!BD63</f>
        <v>Túnez</v>
      </c>
      <c r="I15" s="9" t="str">
        <f ca="1">+WORLDCUP!BD69</f>
        <v>Panamá</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Egipto</v>
      </c>
      <c r="E16" s="9" t="str">
        <f ca="1">+WORLDCUP!BD66</f>
        <v>Senegal</v>
      </c>
      <c r="F16" s="9" t="str">
        <f ca="1">+WORLDCUP!BD60</f>
        <v>Haití</v>
      </c>
      <c r="G16" s="9" t="str">
        <f ca="1">+WORLDCUP!BD65</f>
        <v>Arabia Saudita</v>
      </c>
      <c r="H16" s="9" t="str">
        <f ca="1">+WORLDCUP!BD63</f>
        <v>Túnez</v>
      </c>
      <c r="I16" s="9" t="str">
        <f ca="1">+WORLDCUP!BD69</f>
        <v>Panamá</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Egipto</v>
      </c>
      <c r="E17" s="9" t="str">
        <f ca="1">+WORLDCUP!BD67</f>
        <v>Argelia</v>
      </c>
      <c r="F17" s="9" t="str">
        <f ca="1">+WORLDCUP!BD60</f>
        <v>Haití</v>
      </c>
      <c r="G17" s="9" t="str">
        <f ca="1">+WORLDCUP!BD65</f>
        <v>Arabia Saudita</v>
      </c>
      <c r="H17" s="9" t="str">
        <f ca="1">+WORLDCUP!BD63</f>
        <v>Túnez</v>
      </c>
      <c r="I17" s="9" t="str">
        <f ca="1">+WORLDCUP!BD69</f>
        <v>Panamá</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Egipto</v>
      </c>
      <c r="E18" s="9" t="str">
        <f ca="1">+WORLDCUP!BD67</f>
        <v>Argelia</v>
      </c>
      <c r="F18" s="9" t="str">
        <f ca="1">+WORLDCUP!BD60</f>
        <v>Haití</v>
      </c>
      <c r="G18" s="9" t="str">
        <f ca="1">+WORLDCUP!BD65</f>
        <v>Arabia Saudita</v>
      </c>
      <c r="H18" s="9" t="str">
        <f ca="1">+WORLDCUP!BD63</f>
        <v>Túnez</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Egipto</v>
      </c>
      <c r="E19" s="9" t="str">
        <f ca="1">+WORLDCUP!BD66</f>
        <v>Senegal</v>
      </c>
      <c r="F19" s="9" t="str">
        <f ca="1">+WORLDCUP!BD60</f>
        <v>Haití</v>
      </c>
      <c r="G19" s="9" t="str">
        <f ca="1">+WORLDCUP!BD67</f>
        <v>Argelia</v>
      </c>
      <c r="H19" s="9" t="str">
        <f ca="1">+WORLDCUP!BD61</f>
        <v>Estados Unidos</v>
      </c>
      <c r="I19" s="9" t="str">
        <f ca="1">+WORLDCUP!BD69</f>
        <v>Panamá</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Haití</v>
      </c>
      <c r="D20" s="9" t="str">
        <f ca="1">+WORLDCUP!BD67</f>
        <v>Argelia</v>
      </c>
      <c r="E20" s="9" t="str">
        <f ca="1">+WORLDCUP!BD66</f>
        <v>Senegal</v>
      </c>
      <c r="F20" s="9" t="str">
        <f ca="1">+WORLDCUP!BD61</f>
        <v>Estados Unidos</v>
      </c>
      <c r="G20" s="9" t="str">
        <f ca="1">+WORLDCUP!BD65</f>
        <v>Arabia Saudita</v>
      </c>
      <c r="H20" s="9" t="str">
        <f ca="1">+WORLDCUP!BD63</f>
        <v>Túnez</v>
      </c>
      <c r="I20" s="9" t="str">
        <f ca="1">+WORLDCUP!BD69</f>
        <v>Panamá</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Haití</v>
      </c>
      <c r="D21" s="9" t="str">
        <f ca="1">+WORLDCUP!BD64</f>
        <v>Egipto</v>
      </c>
      <c r="E21" s="9" t="str">
        <f ca="1">+WORLDCUP!BD66</f>
        <v>Senegal</v>
      </c>
      <c r="F21" s="9" t="str">
        <f ca="1">+WORLDCUP!BD61</f>
        <v>Estados Unidos</v>
      </c>
      <c r="G21" s="9" t="str">
        <f ca="1">+WORLDCUP!BD67</f>
        <v>Argelia</v>
      </c>
      <c r="H21" s="9" t="str">
        <f ca="1">+WORLDCUP!BD63</f>
        <v>Túnez</v>
      </c>
      <c r="I21" s="9" t="str">
        <f ca="1">+WORLDCUP!BD69</f>
        <v>Panamá</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Haití</v>
      </c>
      <c r="D22" s="9" t="str">
        <f ca="1">+WORLDCUP!BD64</f>
        <v>Egipto</v>
      </c>
      <c r="E22" s="9" t="str">
        <f ca="1">+WORLDCUP!BD67</f>
        <v>Argelia</v>
      </c>
      <c r="F22" s="9" t="str">
        <f ca="1">+WORLDCUP!BD61</f>
        <v>Estados Unidos</v>
      </c>
      <c r="G22" s="9" t="str">
        <f ca="1">+WORLDCUP!BD65</f>
        <v>Arabia Saudita</v>
      </c>
      <c r="H22" s="9" t="str">
        <f ca="1">+WORLDCUP!BD63</f>
        <v>Túnez</v>
      </c>
      <c r="I22" s="9" t="str">
        <f ca="1">+WORLDCUP!BD69</f>
        <v>Panamá</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Haití</v>
      </c>
      <c r="D23" s="9" t="str">
        <f ca="1">+WORLDCUP!BD64</f>
        <v>Egipto</v>
      </c>
      <c r="E23" s="9" t="str">
        <f ca="1">+WORLDCUP!BD66</f>
        <v>Senegal</v>
      </c>
      <c r="F23" s="9" t="str">
        <f ca="1">+WORLDCUP!BD61</f>
        <v>Estados Unidos</v>
      </c>
      <c r="G23" s="9" t="str">
        <f ca="1">+WORLDCUP!BD65</f>
        <v>Arabia Saudita</v>
      </c>
      <c r="H23" s="9" t="str">
        <f ca="1">+WORLDCUP!BD63</f>
        <v>Túnez</v>
      </c>
      <c r="I23" s="9" t="str">
        <f ca="1">+WORLDCUP!BD69</f>
        <v>Panamá</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Haití</v>
      </c>
      <c r="D24" s="9" t="str">
        <f ca="1">+WORLDCUP!BD64</f>
        <v>Egipto</v>
      </c>
      <c r="E24" s="9" t="str">
        <f ca="1">+WORLDCUP!BD67</f>
        <v>Argelia</v>
      </c>
      <c r="F24" s="9" t="str">
        <f ca="1">+WORLDCUP!BD61</f>
        <v>Estados Unidos</v>
      </c>
      <c r="G24" s="9" t="str">
        <f ca="1">+WORLDCUP!BD65</f>
        <v>Arabia Saudita</v>
      </c>
      <c r="H24" s="9" t="str">
        <f ca="1">+WORLDCUP!BD63</f>
        <v>Túnez</v>
      </c>
      <c r="I24" s="9" t="str">
        <f ca="1">+WORLDCUP!BD69</f>
        <v>Panamá</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Haití</v>
      </c>
      <c r="D25" s="9" t="str">
        <f ca="1">+WORLDCUP!BD64</f>
        <v>Egipto</v>
      </c>
      <c r="E25" s="9" t="str">
        <f ca="1">+WORLDCUP!BD67</f>
        <v>Argelia</v>
      </c>
      <c r="F25" s="9" t="str">
        <f ca="1">+WORLDCUP!BD61</f>
        <v>Estados Unidos</v>
      </c>
      <c r="G25" s="9" t="str">
        <f ca="1">+WORLDCUP!BD65</f>
        <v>Arabia Saudita</v>
      </c>
      <c r="H25" s="9" t="str">
        <f ca="1">+WORLDCUP!BD63</f>
        <v>Túnez</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Haití</v>
      </c>
      <c r="G26" s="9" t="str">
        <f ca="1">+WORLDCUP!BD65</f>
        <v>Arabia Saudita</v>
      </c>
      <c r="H26" s="9" t="str">
        <f ca="1">+WORLDCUP!BD61</f>
        <v>Estados Unidos</v>
      </c>
      <c r="I26" s="9" t="str">
        <f ca="1">+WORLDCUP!BD69</f>
        <v>Panamá</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Egipto</v>
      </c>
      <c r="E27" s="9" t="str">
        <f ca="1">+WORLDCUP!BD66</f>
        <v>Senegal</v>
      </c>
      <c r="F27" s="9" t="str">
        <f ca="1">+WORLDCUP!BD60</f>
        <v>Haití</v>
      </c>
      <c r="G27" s="9" t="str">
        <f ca="1">+WORLDCUP!BD67</f>
        <v>Argelia</v>
      </c>
      <c r="H27" s="9" t="str">
        <f ca="1">+WORLDCUP!BD61</f>
        <v>Estados Unidos</v>
      </c>
      <c r="I27" s="9" t="str">
        <f ca="1">+WORLDCUP!BD69</f>
        <v>Panamá</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Egipto</v>
      </c>
      <c r="E28" s="9" t="str">
        <f ca="1">+WORLDCUP!BD67</f>
        <v>Argelia</v>
      </c>
      <c r="F28" s="9" t="str">
        <f ca="1">+WORLDCUP!BD60</f>
        <v>Haití</v>
      </c>
      <c r="G28" s="9" t="str">
        <f ca="1">+WORLDCUP!BD65</f>
        <v>Arabia Saudita</v>
      </c>
      <c r="H28" s="9" t="str">
        <f ca="1">+WORLDCUP!BD61</f>
        <v>Estados Unidos</v>
      </c>
      <c r="I28" s="9" t="str">
        <f ca="1">+WORLDCUP!BD69</f>
        <v>Panamá</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Egipto</v>
      </c>
      <c r="E29" s="9" t="str">
        <f ca="1">+WORLDCUP!BD66</f>
        <v>Senegal</v>
      </c>
      <c r="F29" s="9" t="str">
        <f ca="1">+WORLDCUP!BD60</f>
        <v>Haití</v>
      </c>
      <c r="G29" s="9" t="str">
        <f ca="1">+WORLDCUP!BD65</f>
        <v>Arabia Saudita</v>
      </c>
      <c r="H29" s="9" t="str">
        <f ca="1">+WORLDCUP!BD61</f>
        <v>Estados Unidos</v>
      </c>
      <c r="I29" s="9" t="str">
        <f ca="1">+WORLDCUP!BD69</f>
        <v>Panamá</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Egipto</v>
      </c>
      <c r="E30" s="9" t="str">
        <f ca="1">+WORLDCUP!BD67</f>
        <v>Argelia</v>
      </c>
      <c r="F30" s="9" t="str">
        <f ca="1">+WORLDCUP!BD60</f>
        <v>Haití</v>
      </c>
      <c r="G30" s="9" t="str">
        <f ca="1">+WORLDCUP!BD65</f>
        <v>Arabia Saudita</v>
      </c>
      <c r="H30" s="9" t="str">
        <f ca="1">+WORLDCUP!BD61</f>
        <v>Estados Unidos</v>
      </c>
      <c r="I30" s="9" t="str">
        <f ca="1">+WORLDCUP!BD69</f>
        <v>Panamá</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Egipto</v>
      </c>
      <c r="E31" s="9" t="str">
        <f ca="1">+WORLDCUP!BD67</f>
        <v>Argelia</v>
      </c>
      <c r="F31" s="9" t="str">
        <f ca="1">+WORLDCUP!BD60</f>
        <v>Haití</v>
      </c>
      <c r="G31" s="9" t="str">
        <f ca="1">+WORLDCUP!BD65</f>
        <v>Arabia Saudita</v>
      </c>
      <c r="H31" s="9" t="str">
        <f ca="1">+WORLDCUP!BD61</f>
        <v>Estados Unidos</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Haití</v>
      </c>
      <c r="D32" s="9" t="str">
        <f ca="1">+WORLDCUP!BD67</f>
        <v>Argelia</v>
      </c>
      <c r="E32" s="9" t="str">
        <f ca="1">+WORLDCUP!BD62</f>
        <v>Costa de Marfil</v>
      </c>
      <c r="F32" s="9" t="str">
        <f ca="1">+WORLDCUP!BD61</f>
        <v>Estados Unidos</v>
      </c>
      <c r="G32" s="9" t="str">
        <f ca="1">+WORLDCUP!BD66</f>
        <v>Senegal</v>
      </c>
      <c r="H32" s="9" t="str">
        <f ca="1">+WORLDCUP!BD63</f>
        <v>Túnez</v>
      </c>
      <c r="I32" s="9" t="str">
        <f ca="1">+WORLDCUP!BD69</f>
        <v>Panamá</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Haití</v>
      </c>
      <c r="D33" s="9" t="str">
        <f ca="1">+WORLDCUP!BD67</f>
        <v>Argelia</v>
      </c>
      <c r="E33" s="9" t="str">
        <f ca="1">+WORLDCUP!BD62</f>
        <v>Costa de Marfil</v>
      </c>
      <c r="F33" s="9" t="str">
        <f ca="1">+WORLDCUP!BD61</f>
        <v>Estados Unidos</v>
      </c>
      <c r="G33" s="9" t="str">
        <f ca="1">+WORLDCUP!BD65</f>
        <v>Arabia Saudita</v>
      </c>
      <c r="H33" s="9" t="str">
        <f ca="1">+WORLDCUP!BD63</f>
        <v>Túnez</v>
      </c>
      <c r="I33" s="9" t="str">
        <f ca="1">+WORLDCUP!BD69</f>
        <v>Panamá</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Haití</v>
      </c>
      <c r="D34" s="9" t="str">
        <f ca="1">+WORLDCUP!BD62</f>
        <v>Costa de Marfil</v>
      </c>
      <c r="E34" s="9" t="str">
        <f ca="1">+WORLDCUP!BD66</f>
        <v>Senegal</v>
      </c>
      <c r="F34" s="9" t="str">
        <f ca="1">+WORLDCUP!BD61</f>
        <v>Estados Unidos</v>
      </c>
      <c r="G34" s="9" t="str">
        <f ca="1">+WORLDCUP!BD65</f>
        <v>Arabia Saudita</v>
      </c>
      <c r="H34" s="9" t="str">
        <f ca="1">+WORLDCUP!BD63</f>
        <v>Túnez</v>
      </c>
      <c r="I34" s="9" t="str">
        <f ca="1">+WORLDCUP!BD69</f>
        <v>Panamá</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Haití</v>
      </c>
      <c r="D35" s="9" t="str">
        <f ca="1">+WORLDCUP!BD67</f>
        <v>Argelia</v>
      </c>
      <c r="E35" s="9" t="str">
        <f ca="1">+WORLDCUP!BD62</f>
        <v>Costa de Marfil</v>
      </c>
      <c r="F35" s="9" t="str">
        <f ca="1">+WORLDCUP!BD61</f>
        <v>Estados Unidos</v>
      </c>
      <c r="G35" s="9" t="str">
        <f ca="1">+WORLDCUP!BD65</f>
        <v>Arabia Saudita</v>
      </c>
      <c r="H35" s="9" t="str">
        <f ca="1">+WORLDCUP!BD63</f>
        <v>Túnez</v>
      </c>
      <c r="I35" s="9" t="str">
        <f ca="1">+WORLDCUP!BD69</f>
        <v>Panamá</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Haití</v>
      </c>
      <c r="D36" s="9" t="str">
        <f ca="1">+WORLDCUP!BD67</f>
        <v>Argelia</v>
      </c>
      <c r="E36" s="9" t="str">
        <f ca="1">+WORLDCUP!BD62</f>
        <v>Costa de Marfil</v>
      </c>
      <c r="F36" s="9" t="str">
        <f ca="1">+WORLDCUP!BD61</f>
        <v>Estados Unidos</v>
      </c>
      <c r="G36" s="9" t="str">
        <f ca="1">+WORLDCUP!BD65</f>
        <v>Arabia Saudita</v>
      </c>
      <c r="H36" s="9" t="str">
        <f ca="1">+WORLDCUP!BD63</f>
        <v>Túnez</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Haití</v>
      </c>
      <c r="D37" s="9" t="str">
        <f ca="1">+WORLDCUP!BD64</f>
        <v>Egipto</v>
      </c>
      <c r="E37" s="9" t="str">
        <f ca="1">+WORLDCUP!BD62</f>
        <v>Costa de Marfil</v>
      </c>
      <c r="F37" s="9" t="str">
        <f ca="1">+WORLDCUP!BD61</f>
        <v>Estados Unidos</v>
      </c>
      <c r="G37" s="9" t="str">
        <f ca="1">+WORLDCUP!BD67</f>
        <v>Argelia</v>
      </c>
      <c r="H37" s="9" t="str">
        <f ca="1">+WORLDCUP!BD63</f>
        <v>Túnez</v>
      </c>
      <c r="I37" s="9" t="str">
        <f ca="1">+WORLDCUP!BD69</f>
        <v>Panamá</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Haití</v>
      </c>
      <c r="D38" s="9" t="str">
        <f ca="1">+WORLDCUP!BD64</f>
        <v>Egipto</v>
      </c>
      <c r="E38" s="9" t="str">
        <f ca="1">+WORLDCUP!BD62</f>
        <v>Costa de Marfil</v>
      </c>
      <c r="F38" s="9" t="str">
        <f ca="1">+WORLDCUP!BD61</f>
        <v>Estados Unidos</v>
      </c>
      <c r="G38" s="9" t="str">
        <f ca="1">+WORLDCUP!BD66</f>
        <v>Senegal</v>
      </c>
      <c r="H38" s="9" t="str">
        <f ca="1">+WORLDCUP!BD63</f>
        <v>Túnez</v>
      </c>
      <c r="I38" s="9" t="str">
        <f ca="1">+WORLDCUP!BD69</f>
        <v>Panamá</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Haití</v>
      </c>
      <c r="D39" s="9" t="str">
        <f ca="1">+WORLDCUP!BD64</f>
        <v>Egipto</v>
      </c>
      <c r="E39" s="9" t="str">
        <f ca="1">+WORLDCUP!BD62</f>
        <v>Costa de Marfil</v>
      </c>
      <c r="F39" s="9" t="str">
        <f ca="1">+WORLDCUP!BD61</f>
        <v>Estados Unidos</v>
      </c>
      <c r="G39" s="9" t="str">
        <f ca="1">+WORLDCUP!BD67</f>
        <v>Argelia</v>
      </c>
      <c r="H39" s="9" t="str">
        <f ca="1">+WORLDCUP!BD63</f>
        <v>Túnez</v>
      </c>
      <c r="I39" s="9" t="str">
        <f ca="1">+WORLDCUP!BD69</f>
        <v>Panamá</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Haití</v>
      </c>
      <c r="D40" s="9" t="str">
        <f ca="1">+WORLDCUP!BD64</f>
        <v>Egipto</v>
      </c>
      <c r="E40" s="9" t="str">
        <f ca="1">+WORLDCUP!BD62</f>
        <v>Costa de Marfil</v>
      </c>
      <c r="F40" s="9" t="str">
        <f ca="1">+WORLDCUP!BD61</f>
        <v>Estados Unidos</v>
      </c>
      <c r="G40" s="9" t="str">
        <f ca="1">+WORLDCUP!BD67</f>
        <v>Argelia</v>
      </c>
      <c r="H40" s="9" t="str">
        <f ca="1">+WORLDCUP!BD63</f>
        <v>Túnez</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Haití</v>
      </c>
      <c r="D41" s="9" t="str">
        <f ca="1">+WORLDCUP!BD64</f>
        <v>Egipto</v>
      </c>
      <c r="E41" s="9" t="str">
        <f ca="1">+WORLDCUP!BD62</f>
        <v>Costa de Marfil</v>
      </c>
      <c r="F41" s="9" t="str">
        <f ca="1">+WORLDCUP!BD61</f>
        <v>Estados Unidos</v>
      </c>
      <c r="G41" s="9" t="str">
        <f ca="1">+WORLDCUP!BD65</f>
        <v>Arabia Saudita</v>
      </c>
      <c r="H41" s="9" t="str">
        <f ca="1">+WORLDCUP!BD63</f>
        <v>Túnez</v>
      </c>
      <c r="I41" s="9" t="str">
        <f ca="1">+WORLDCUP!BD69</f>
        <v>Panamá</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Haití</v>
      </c>
      <c r="D42" s="9" t="str">
        <f ca="1">+WORLDCUP!BD64</f>
        <v>Egipto</v>
      </c>
      <c r="E42" s="9" t="str">
        <f ca="1">+WORLDCUP!BD67</f>
        <v>Argelia</v>
      </c>
      <c r="F42" s="9" t="str">
        <f ca="1">+WORLDCUP!BD61</f>
        <v>Estados Unidos</v>
      </c>
      <c r="G42" s="9" t="str">
        <f ca="1">+WORLDCUP!BD65</f>
        <v>Arabia Saudita</v>
      </c>
      <c r="H42" s="9" t="str">
        <f ca="1">+WORLDCUP!BD63</f>
        <v>Túnez</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Haití</v>
      </c>
      <c r="D43" s="9" t="str">
        <f ca="1">+WORLDCUP!BD64</f>
        <v>Egipto</v>
      </c>
      <c r="E43" s="9" t="str">
        <f ca="1">+WORLDCUP!BD67</f>
        <v>Argelia</v>
      </c>
      <c r="F43" s="9" t="str">
        <f ca="1">+WORLDCUP!BD61</f>
        <v>Estados Unidos</v>
      </c>
      <c r="G43" s="9" t="str">
        <f ca="1">+WORLDCUP!BD65</f>
        <v>Arabia Saudita</v>
      </c>
      <c r="H43" s="9" t="str">
        <f ca="1">+WORLDCUP!BD63</f>
        <v>Túnez</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Haití</v>
      </c>
      <c r="D44" s="9" t="str">
        <f ca="1">+WORLDCUP!BD64</f>
        <v>Egipto</v>
      </c>
      <c r="E44" s="9" t="str">
        <f ca="1">+WORLDCUP!BD62</f>
        <v>Costa de Marfil</v>
      </c>
      <c r="F44" s="9" t="str">
        <f ca="1">+WORLDCUP!BD61</f>
        <v>Estados Unidos</v>
      </c>
      <c r="G44" s="9" t="str">
        <f ca="1">+WORLDCUP!BD65</f>
        <v>Arabia Saudita</v>
      </c>
      <c r="H44" s="9" t="str">
        <f ca="1">+WORLDCUP!BD63</f>
        <v>Túnez</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Haití</v>
      </c>
      <c r="D45" s="9" t="str">
        <f ca="1">+WORLDCUP!BD64</f>
        <v>Egipto</v>
      </c>
      <c r="E45" s="9" t="str">
        <f ca="1">+WORLDCUP!BD62</f>
        <v>Costa de Marfil</v>
      </c>
      <c r="F45" s="9" t="str">
        <f ca="1">+WORLDCUP!BD61</f>
        <v>Estados Unidos</v>
      </c>
      <c r="G45" s="9" t="str">
        <f ca="1">+WORLDCUP!BD65</f>
        <v>Arabia Saudita</v>
      </c>
      <c r="H45" s="9" t="str">
        <f ca="1">+WORLDCUP!BD63</f>
        <v>Túnez</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Haití</v>
      </c>
      <c r="D46" s="9" t="str">
        <f ca="1">+WORLDCUP!BD64</f>
        <v>Egipto</v>
      </c>
      <c r="E46" s="9" t="str">
        <f ca="1">+WORLDCUP!BD67</f>
        <v>Argelia</v>
      </c>
      <c r="F46" s="9" t="str">
        <f ca="1">+WORLDCUP!BD61</f>
        <v>Estados Unidos</v>
      </c>
      <c r="G46" s="9" t="str">
        <f ca="1">+WORLDCUP!BD65</f>
        <v>Arabia Saudita</v>
      </c>
      <c r="H46" s="9" t="str">
        <f ca="1">+WORLDCUP!BD63</f>
        <v>Túnez</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Túnez</v>
      </c>
      <c r="G47" s="9" t="str">
        <f ca="1">+WORLDCUP!BD66</f>
        <v>Senegal</v>
      </c>
      <c r="H47" s="9" t="str">
        <f ca="1">+WORLDCUP!BD64</f>
        <v>Egipto</v>
      </c>
      <c r="I47" s="9" t="str">
        <f ca="1">+WORLDCUP!BD69</f>
        <v>Panamá</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Egipto</v>
      </c>
      <c r="I48" s="9" t="str">
        <f ca="1">+WORLDCUP!BD69</f>
        <v>Panamá</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Túnez</v>
      </c>
      <c r="G49" s="9" t="str">
        <f ca="1">+WORLDCUP!BD66</f>
        <v>Senegal</v>
      </c>
      <c r="H49" s="9" t="str">
        <f ca="1">+WORLDCUP!BD65</f>
        <v>Arabia Saudita</v>
      </c>
      <c r="I49" s="9" t="str">
        <f ca="1">+WORLDCUP!BD69</f>
        <v>Panamá</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Túnez</v>
      </c>
      <c r="G50" s="9" t="str">
        <f ca="1">+WORLDCUP!BD66</f>
        <v>Senegal</v>
      </c>
      <c r="H50" s="9" t="str">
        <f ca="1">+WORLDCUP!BD64</f>
        <v>Egipto</v>
      </c>
      <c r="I50" s="9" t="str">
        <f ca="1">+WORLDCUP!BD69</f>
        <v>Panamá</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Túnez</v>
      </c>
      <c r="G51" s="9" t="str">
        <f ca="1">+WORLDCUP!BD65</f>
        <v>Arabia Saudita</v>
      </c>
      <c r="H51" s="9" t="str">
        <f ca="1">+WORLDCUP!BD64</f>
        <v>Egipto</v>
      </c>
      <c r="I51" s="9" t="str">
        <f ca="1">+WORLDCUP!BD69</f>
        <v>Panamá</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Egipto</v>
      </c>
      <c r="E52" s="9" t="str">
        <f ca="1">+WORLDCUP!BD59</f>
        <v>Bosnia y Herzegovina</v>
      </c>
      <c r="F52" s="9" t="str">
        <f ca="1">+WORLDCUP!BD63</f>
        <v>Túnez</v>
      </c>
      <c r="G52" s="9" t="str">
        <f ca="1">+WORLDCUP!BD66</f>
        <v>Senegal</v>
      </c>
      <c r="H52" s="9" t="str">
        <f ca="1">+WORLDCUP!BD65</f>
        <v>Arabia Saudita</v>
      </c>
      <c r="I52" s="9" t="str">
        <f ca="1">+WORLDCUP!BD69</f>
        <v>Panamá</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Túnez</v>
      </c>
      <c r="G53" s="9" t="str">
        <f ca="1">+WORLDCUP!BD65</f>
        <v>Arabia Saudita</v>
      </c>
      <c r="H53" s="9" t="str">
        <f ca="1">+WORLDCUP!BD64</f>
        <v>Egipto</v>
      </c>
      <c r="I53" s="9" t="str">
        <f ca="1">+WORLDCUP!BD69</f>
        <v>Panamá</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Túnez</v>
      </c>
      <c r="G54" s="9" t="str">
        <f ca="1">+WORLDCUP!BD65</f>
        <v>Arabia Saudita</v>
      </c>
      <c r="H54" s="9" t="str">
        <f ca="1">+WORLDCUP!BD64</f>
        <v>Egipto</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Estados Unidos</v>
      </c>
      <c r="G55" s="9" t="str">
        <f ca="1">+WORLDCUP!BD66</f>
        <v>Senegal</v>
      </c>
      <c r="H55" s="9" t="str">
        <f ca="1">+WORLDCUP!BD64</f>
        <v>Egipto</v>
      </c>
      <c r="I55" s="9" t="str">
        <f ca="1">+WORLDCUP!BD69</f>
        <v>Panamá</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Estados Unidos</v>
      </c>
      <c r="G56" s="9" t="str">
        <f ca="1">+WORLDCUP!BD66</f>
        <v>Senegal</v>
      </c>
      <c r="H56" s="9" t="str">
        <f ca="1">+WORLDCUP!BD63</f>
        <v>Túnez</v>
      </c>
      <c r="I56" s="9" t="str">
        <f ca="1">+WORLDCUP!BD69</f>
        <v>Panamá</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Egipto</v>
      </c>
      <c r="E57" s="9" t="str">
        <f ca="1">+WORLDCUP!BD59</f>
        <v>Bosnia y Herzegovina</v>
      </c>
      <c r="F57" s="9" t="str">
        <f ca="1">+WORLDCUP!BD61</f>
        <v>Estados Unidos</v>
      </c>
      <c r="G57" s="9" t="str">
        <f ca="1">+WORLDCUP!BD67</f>
        <v>Argelia</v>
      </c>
      <c r="H57" s="9" t="str">
        <f ca="1">+WORLDCUP!BD63</f>
        <v>Túnez</v>
      </c>
      <c r="I57" s="9" t="str">
        <f ca="1">+WORLDCUP!BD69</f>
        <v>Panamá</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Egipto</v>
      </c>
      <c r="E58" s="9" t="str">
        <f ca="1">+WORLDCUP!BD59</f>
        <v>Bosnia y Herzegovina</v>
      </c>
      <c r="F58" s="9" t="str">
        <f ca="1">+WORLDCUP!BD61</f>
        <v>Estados Unidos</v>
      </c>
      <c r="G58" s="9" t="str">
        <f ca="1">+WORLDCUP!BD67</f>
        <v>Argelia</v>
      </c>
      <c r="H58" s="9" t="str">
        <f ca="1">+WORLDCUP!BD63</f>
        <v>Túnez</v>
      </c>
      <c r="I58" s="9" t="str">
        <f ca="1">+WORLDCUP!BD69</f>
        <v>Panamá</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Egipto</v>
      </c>
      <c r="E59" s="9" t="str">
        <f ca="1">+WORLDCUP!BD59</f>
        <v>Bosnia y Herzegovina</v>
      </c>
      <c r="F59" s="9" t="str">
        <f ca="1">+WORLDCUP!BD61</f>
        <v>Estados Unidos</v>
      </c>
      <c r="G59" s="9" t="str">
        <f ca="1">+WORLDCUP!BD66</f>
        <v>Senegal</v>
      </c>
      <c r="H59" s="9" t="str">
        <f ca="1">+WORLDCUP!BD63</f>
        <v>Túnez</v>
      </c>
      <c r="I59" s="9" t="str">
        <f ca="1">+WORLDCUP!BD69</f>
        <v>Panamá</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Egipto</v>
      </c>
      <c r="E60" s="9" t="str">
        <f ca="1">+WORLDCUP!BD59</f>
        <v>Bosnia y Herzegovina</v>
      </c>
      <c r="F60" s="9" t="str">
        <f ca="1">+WORLDCUP!BD61</f>
        <v>Estados Unidos</v>
      </c>
      <c r="G60" s="9" t="str">
        <f ca="1">+WORLDCUP!BD67</f>
        <v>Argelia</v>
      </c>
      <c r="H60" s="9" t="str">
        <f ca="1">+WORLDCUP!BD63</f>
        <v>Túnez</v>
      </c>
      <c r="I60" s="9" t="str">
        <f ca="1">+WORLDCUP!BD69</f>
        <v>Panamá</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Egipto</v>
      </c>
      <c r="E61" s="9" t="str">
        <f ca="1">+WORLDCUP!BD59</f>
        <v>Bosnia y Herzegovina</v>
      </c>
      <c r="F61" s="9" t="str">
        <f ca="1">+WORLDCUP!BD61</f>
        <v>Estados Unidos</v>
      </c>
      <c r="G61" s="9" t="str">
        <f ca="1">+WORLDCUP!BD67</f>
        <v>Argelia</v>
      </c>
      <c r="H61" s="9" t="str">
        <f ca="1">+WORLDCUP!BD63</f>
        <v>Túnez</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Estados Unidos</v>
      </c>
      <c r="G62" s="9" t="str">
        <f ca="1">+WORLDCUP!BD66</f>
        <v>Senegal</v>
      </c>
      <c r="H62" s="9" t="str">
        <f ca="1">+WORLDCUP!BD65</f>
        <v>Arabia Saudita</v>
      </c>
      <c r="I62" s="9" t="str">
        <f ca="1">+WORLDCUP!BD69</f>
        <v>Panamá</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Estados Unidos</v>
      </c>
      <c r="G63" s="9" t="str">
        <f ca="1">+WORLDCUP!BD66</f>
        <v>Senegal</v>
      </c>
      <c r="H63" s="9" t="str">
        <f ca="1">+WORLDCUP!BD64</f>
        <v>Egipto</v>
      </c>
      <c r="I63" s="9" t="str">
        <f ca="1">+WORLDCUP!BD69</f>
        <v>Panamá</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Estados Unidos</v>
      </c>
      <c r="G64" s="9" t="str">
        <f ca="1">+WORLDCUP!BD65</f>
        <v>Arabia Saudita</v>
      </c>
      <c r="H64" s="9" t="str">
        <f ca="1">+WORLDCUP!BD64</f>
        <v>Egipto</v>
      </c>
      <c r="I64" s="9" t="str">
        <f ca="1">+WORLDCUP!BD69</f>
        <v>Panamá</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Egipto</v>
      </c>
      <c r="E65" s="9" t="str">
        <f ca="1">+WORLDCUP!BD59</f>
        <v>Bosnia y Herzegovina</v>
      </c>
      <c r="F65" s="9" t="str">
        <f ca="1">+WORLDCUP!BD61</f>
        <v>Estados Unidos</v>
      </c>
      <c r="G65" s="9" t="str">
        <f ca="1">+WORLDCUP!BD66</f>
        <v>Senegal</v>
      </c>
      <c r="H65" s="9" t="str">
        <f ca="1">+WORLDCUP!BD65</f>
        <v>Arabia Saudita</v>
      </c>
      <c r="I65" s="9" t="str">
        <f ca="1">+WORLDCUP!BD69</f>
        <v>Panamá</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Estados Unidos</v>
      </c>
      <c r="G66" s="9" t="str">
        <f ca="1">+WORLDCUP!BD65</f>
        <v>Arabia Saudita</v>
      </c>
      <c r="H66" s="9" t="str">
        <f ca="1">+WORLDCUP!BD64</f>
        <v>Egipto</v>
      </c>
      <c r="I66" s="9" t="str">
        <f ca="1">+WORLDCUP!BD69</f>
        <v>Panamá</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Estados Unidos</v>
      </c>
      <c r="G67" s="9" t="str">
        <f ca="1">+WORLDCUP!BD65</f>
        <v>Arabia Saudita</v>
      </c>
      <c r="H67" s="9" t="str">
        <f ca="1">+WORLDCUP!BD64</f>
        <v>Egipto</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Estados Unidos</v>
      </c>
      <c r="G68" s="9" t="str">
        <f ca="1">+WORLDCUP!BD66</f>
        <v>Senegal</v>
      </c>
      <c r="H68" s="9" t="str">
        <f ca="1">+WORLDCUP!BD63</f>
        <v>Túnez</v>
      </c>
      <c r="I68" s="9" t="str">
        <f ca="1">+WORLDCUP!BD69</f>
        <v>Panamá</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Estados Unidos</v>
      </c>
      <c r="G69" s="9" t="str">
        <f ca="1">+WORLDCUP!BD65</f>
        <v>Arabia Saudita</v>
      </c>
      <c r="H69" s="9" t="str">
        <f ca="1">+WORLDCUP!BD63</f>
        <v>Túnez</v>
      </c>
      <c r="I69" s="9" t="str">
        <f ca="1">+WORLDCUP!BD69</f>
        <v>Panamá</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Estados Unidos</v>
      </c>
      <c r="G70" s="9" t="str">
        <f ca="1">+WORLDCUP!BD65</f>
        <v>Arabia Saudita</v>
      </c>
      <c r="H70" s="9" t="str">
        <f ca="1">+WORLDCUP!BD63</f>
        <v>Túnez</v>
      </c>
      <c r="I70" s="9" t="str">
        <f ca="1">+WORLDCUP!BD69</f>
        <v>Panamá</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Estados Unidos</v>
      </c>
      <c r="G71" s="9" t="str">
        <f ca="1">+WORLDCUP!BD65</f>
        <v>Arabia Saudita</v>
      </c>
      <c r="H71" s="9" t="str">
        <f ca="1">+WORLDCUP!BD63</f>
        <v>Túnez</v>
      </c>
      <c r="I71" s="9" t="str">
        <f ca="1">+WORLDCUP!BD69</f>
        <v>Panamá</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Estados Unidos</v>
      </c>
      <c r="G72" s="9" t="str">
        <f ca="1">+WORLDCUP!BD65</f>
        <v>Arabia Saudita</v>
      </c>
      <c r="H72" s="9" t="str">
        <f ca="1">+WORLDCUP!BD63</f>
        <v>Túnez</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Egipto</v>
      </c>
      <c r="E73" s="9" t="str">
        <f ca="1">+WORLDCUP!BD59</f>
        <v>Bosnia y Herzegovina</v>
      </c>
      <c r="F73" s="9" t="str">
        <f ca="1">+WORLDCUP!BD61</f>
        <v>Estados Unidos</v>
      </c>
      <c r="G73" s="9" t="str">
        <f ca="1">+WORLDCUP!BD67</f>
        <v>Argelia</v>
      </c>
      <c r="H73" s="9" t="str">
        <f ca="1">+WORLDCUP!BD63</f>
        <v>Túnez</v>
      </c>
      <c r="I73" s="9" t="str">
        <f ca="1">+WORLDCUP!BD69</f>
        <v>Panamá</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Egipto</v>
      </c>
      <c r="E74" s="9" t="str">
        <f ca="1">+WORLDCUP!BD59</f>
        <v>Bosnia y Herzegovina</v>
      </c>
      <c r="F74" s="9" t="str">
        <f ca="1">+WORLDCUP!BD61</f>
        <v>Estados Unidos</v>
      </c>
      <c r="G74" s="9" t="str">
        <f ca="1">+WORLDCUP!BD66</f>
        <v>Senegal</v>
      </c>
      <c r="H74" s="9" t="str">
        <f ca="1">+WORLDCUP!BD63</f>
        <v>Túnez</v>
      </c>
      <c r="I74" s="9" t="str">
        <f ca="1">+WORLDCUP!BD69</f>
        <v>Panamá</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Egipto</v>
      </c>
      <c r="E75" s="9" t="str">
        <f ca="1">+WORLDCUP!BD59</f>
        <v>Bosnia y Herzegovina</v>
      </c>
      <c r="F75" s="9" t="str">
        <f ca="1">+WORLDCUP!BD61</f>
        <v>Estados Unidos</v>
      </c>
      <c r="G75" s="9" t="str">
        <f ca="1">+WORLDCUP!BD67</f>
        <v>Argelia</v>
      </c>
      <c r="H75" s="9" t="str">
        <f ca="1">+WORLDCUP!BD63</f>
        <v>Túnez</v>
      </c>
      <c r="I75" s="9" t="str">
        <f ca="1">+WORLDCUP!BD69</f>
        <v>Panamá</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Egipto</v>
      </c>
      <c r="E76" s="9" t="str">
        <f ca="1">+WORLDCUP!BD59</f>
        <v>Bosnia y Herzegovina</v>
      </c>
      <c r="F76" s="9" t="str">
        <f ca="1">+WORLDCUP!BD61</f>
        <v>Estados Unidos</v>
      </c>
      <c r="G76" s="9" t="str">
        <f ca="1">+WORLDCUP!BD67</f>
        <v>Argelia</v>
      </c>
      <c r="H76" s="9" t="str">
        <f ca="1">+WORLDCUP!BD63</f>
        <v>Túnez</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Egipto</v>
      </c>
      <c r="E77" s="9" t="str">
        <f ca="1">+WORLDCUP!BD59</f>
        <v>Bosnia y Herzegovina</v>
      </c>
      <c r="F77" s="9" t="str">
        <f ca="1">+WORLDCUP!BD61</f>
        <v>Estados Unidos</v>
      </c>
      <c r="G77" s="9" t="str">
        <f ca="1">+WORLDCUP!BD65</f>
        <v>Arabia Saudita</v>
      </c>
      <c r="H77" s="9" t="str">
        <f ca="1">+WORLDCUP!BD63</f>
        <v>Túnez</v>
      </c>
      <c r="I77" s="9" t="str">
        <f ca="1">+WORLDCUP!BD69</f>
        <v>Panamá</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Egipto</v>
      </c>
      <c r="E78" s="9" t="str">
        <f ca="1">+WORLDCUP!BD59</f>
        <v>Bosnia y Herzegovina</v>
      </c>
      <c r="F78" s="9" t="str">
        <f ca="1">+WORLDCUP!BD61</f>
        <v>Estados Unidos</v>
      </c>
      <c r="G78" s="9" t="str">
        <f ca="1">+WORLDCUP!BD67</f>
        <v>Argelia</v>
      </c>
      <c r="H78" s="9" t="str">
        <f ca="1">+WORLDCUP!BD63</f>
        <v>Túnez</v>
      </c>
      <c r="I78" s="9" t="str">
        <f ca="1">+WORLDCUP!BD69</f>
        <v>Panamá</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Egipto</v>
      </c>
      <c r="E79" s="9" t="str">
        <f ca="1">+WORLDCUP!BD59</f>
        <v>Bosnia y Herzegovina</v>
      </c>
      <c r="F79" s="9" t="str">
        <f ca="1">+WORLDCUP!BD61</f>
        <v>Estados Unidos</v>
      </c>
      <c r="G79" s="9" t="str">
        <f ca="1">+WORLDCUP!BD67</f>
        <v>Argelia</v>
      </c>
      <c r="H79" s="9" t="str">
        <f ca="1">+WORLDCUP!BD63</f>
        <v>Túnez</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Egipto</v>
      </c>
      <c r="E80" s="9" t="str">
        <f ca="1">+WORLDCUP!BD59</f>
        <v>Bosnia y Herzegovina</v>
      </c>
      <c r="F80" s="9" t="str">
        <f ca="1">+WORLDCUP!BD61</f>
        <v>Estados Unidos</v>
      </c>
      <c r="G80" s="9" t="str">
        <f ca="1">+WORLDCUP!BD65</f>
        <v>Arabia Saudita</v>
      </c>
      <c r="H80" s="9" t="str">
        <f ca="1">+WORLDCUP!BD63</f>
        <v>Túnez</v>
      </c>
      <c r="I80" s="9" t="str">
        <f ca="1">+WORLDCUP!BD69</f>
        <v>Panamá</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Egipto</v>
      </c>
      <c r="E81" s="9" t="str">
        <f ca="1">+WORLDCUP!BD59</f>
        <v>Bosnia y Herzegovina</v>
      </c>
      <c r="F81" s="9" t="str">
        <f ca="1">+WORLDCUP!BD61</f>
        <v>Estados Unidos</v>
      </c>
      <c r="G81" s="9" t="str">
        <f ca="1">+WORLDCUP!BD65</f>
        <v>Arabia Saudita</v>
      </c>
      <c r="H81" s="9" t="str">
        <f ca="1">+WORLDCUP!BD63</f>
        <v>Túnez</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Egipto</v>
      </c>
      <c r="E82" s="9" t="str">
        <f ca="1">+WORLDCUP!BD59</f>
        <v>Bosnia y Herzegovina</v>
      </c>
      <c r="F82" s="9" t="str">
        <f ca="1">+WORLDCUP!BD61</f>
        <v>Estados Unidos</v>
      </c>
      <c r="G82" s="9" t="str">
        <f ca="1">+WORLDCUP!BD67</f>
        <v>Argelia</v>
      </c>
      <c r="H82" s="9" t="str">
        <f ca="1">+WORLDCUP!BD63</f>
        <v>Túnez</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Haití</v>
      </c>
      <c r="G83" s="9" t="str">
        <f ca="1">+WORLDCUP!BD66</f>
        <v>Senegal</v>
      </c>
      <c r="H83" s="9" t="str">
        <f ca="1">+WORLDCUP!BD64</f>
        <v>Egipto</v>
      </c>
      <c r="I83" s="9" t="str">
        <f ca="1">+WORLDCUP!BD69</f>
        <v>Panamá</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Haití</v>
      </c>
      <c r="G84" s="9" t="str">
        <f ca="1">+WORLDCUP!BD66</f>
        <v>Senegal</v>
      </c>
      <c r="H84" s="9" t="str">
        <f ca="1">+WORLDCUP!BD63</f>
        <v>Túnez</v>
      </c>
      <c r="I84" s="9" t="str">
        <f ca="1">+WORLDCUP!BD69</f>
        <v>Panamá</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Egipto</v>
      </c>
      <c r="E85" s="9" t="str">
        <f ca="1">+WORLDCUP!BD59</f>
        <v>Bosnia y Herzegovina</v>
      </c>
      <c r="F85" s="9" t="str">
        <f ca="1">+WORLDCUP!BD60</f>
        <v>Haití</v>
      </c>
      <c r="G85" s="9" t="str">
        <f ca="1">+WORLDCUP!BD67</f>
        <v>Argelia</v>
      </c>
      <c r="H85" s="9" t="str">
        <f ca="1">+WORLDCUP!BD63</f>
        <v>Túnez</v>
      </c>
      <c r="I85" s="9" t="str">
        <f ca="1">+WORLDCUP!BD69</f>
        <v>Panamá</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Egipto</v>
      </c>
      <c r="E86" s="9" t="str">
        <f ca="1">+WORLDCUP!BD59</f>
        <v>Bosnia y Herzegovina</v>
      </c>
      <c r="F86" s="9" t="str">
        <f ca="1">+WORLDCUP!BD60</f>
        <v>Haití</v>
      </c>
      <c r="G86" s="9" t="str">
        <f ca="1">+WORLDCUP!BD67</f>
        <v>Argelia</v>
      </c>
      <c r="H86" s="9" t="str">
        <f ca="1">+WORLDCUP!BD63</f>
        <v>Túnez</v>
      </c>
      <c r="I86" s="9" t="str">
        <f ca="1">+WORLDCUP!BD69</f>
        <v>Panamá</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Egipto</v>
      </c>
      <c r="E87" s="9" t="str">
        <f ca="1">+WORLDCUP!BD59</f>
        <v>Bosnia y Herzegovina</v>
      </c>
      <c r="F87" s="9" t="str">
        <f ca="1">+WORLDCUP!BD60</f>
        <v>Haití</v>
      </c>
      <c r="G87" s="9" t="str">
        <f ca="1">+WORLDCUP!BD66</f>
        <v>Senegal</v>
      </c>
      <c r="H87" s="9" t="str">
        <f ca="1">+WORLDCUP!BD63</f>
        <v>Túnez</v>
      </c>
      <c r="I87" s="9" t="str">
        <f ca="1">+WORLDCUP!BD69</f>
        <v>Panamá</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Egipto</v>
      </c>
      <c r="E88" s="9" t="str">
        <f ca="1">+WORLDCUP!BD59</f>
        <v>Bosnia y Herzegovina</v>
      </c>
      <c r="F88" s="9" t="str">
        <f ca="1">+WORLDCUP!BD60</f>
        <v>Haití</v>
      </c>
      <c r="G88" s="9" t="str">
        <f ca="1">+WORLDCUP!BD67</f>
        <v>Argelia</v>
      </c>
      <c r="H88" s="9" t="str">
        <f ca="1">+WORLDCUP!BD63</f>
        <v>Túnez</v>
      </c>
      <c r="I88" s="9" t="str">
        <f ca="1">+WORLDCUP!BD69</f>
        <v>Panamá</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Egipto</v>
      </c>
      <c r="E89" s="9" t="str">
        <f ca="1">+WORLDCUP!BD59</f>
        <v>Bosnia y Herzegovina</v>
      </c>
      <c r="F89" s="9" t="str">
        <f ca="1">+WORLDCUP!BD60</f>
        <v>Haití</v>
      </c>
      <c r="G89" s="9" t="str">
        <f ca="1">+WORLDCUP!BD67</f>
        <v>Argelia</v>
      </c>
      <c r="H89" s="9" t="str">
        <f ca="1">+WORLDCUP!BD63</f>
        <v>Túnez</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Haití</v>
      </c>
      <c r="G90" s="9" t="str">
        <f ca="1">+WORLDCUP!BD66</f>
        <v>Senegal</v>
      </c>
      <c r="H90" s="9" t="str">
        <f ca="1">+WORLDCUP!BD65</f>
        <v>Arabia Saudita</v>
      </c>
      <c r="I90" s="9" t="str">
        <f ca="1">+WORLDCUP!BD69</f>
        <v>Panamá</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Haití</v>
      </c>
      <c r="G91" s="9" t="str">
        <f ca="1">+WORLDCUP!BD66</f>
        <v>Senegal</v>
      </c>
      <c r="H91" s="9" t="str">
        <f ca="1">+WORLDCUP!BD64</f>
        <v>Egipto</v>
      </c>
      <c r="I91" s="9" t="str">
        <f ca="1">+WORLDCUP!BD69</f>
        <v>Panamá</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Haití</v>
      </c>
      <c r="G92" s="9" t="str">
        <f ca="1">+WORLDCUP!BD65</f>
        <v>Arabia Saudita</v>
      </c>
      <c r="H92" s="9" t="str">
        <f ca="1">+WORLDCUP!BD64</f>
        <v>Egipto</v>
      </c>
      <c r="I92" s="9" t="str">
        <f ca="1">+WORLDCUP!BD69</f>
        <v>Panamá</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Egipto</v>
      </c>
      <c r="E93" s="9" t="str">
        <f ca="1">+WORLDCUP!BD59</f>
        <v>Bosnia y Herzegovina</v>
      </c>
      <c r="F93" s="9" t="str">
        <f ca="1">+WORLDCUP!BD60</f>
        <v>Haití</v>
      </c>
      <c r="G93" s="9" t="str">
        <f ca="1">+WORLDCUP!BD66</f>
        <v>Senegal</v>
      </c>
      <c r="H93" s="9" t="str">
        <f ca="1">+WORLDCUP!BD65</f>
        <v>Arabia Saudita</v>
      </c>
      <c r="I93" s="9" t="str">
        <f ca="1">+WORLDCUP!BD69</f>
        <v>Panamá</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Haití</v>
      </c>
      <c r="G94" s="9" t="str">
        <f ca="1">+WORLDCUP!BD65</f>
        <v>Arabia Saudita</v>
      </c>
      <c r="H94" s="9" t="str">
        <f ca="1">+WORLDCUP!BD64</f>
        <v>Egipto</v>
      </c>
      <c r="I94" s="9" t="str">
        <f ca="1">+WORLDCUP!BD69</f>
        <v>Panamá</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Haití</v>
      </c>
      <c r="G95" s="9" t="str">
        <f ca="1">+WORLDCUP!BD65</f>
        <v>Arabia Saudita</v>
      </c>
      <c r="H95" s="9" t="str">
        <f ca="1">+WORLDCUP!BD64</f>
        <v>Egipto</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Haití</v>
      </c>
      <c r="G96" s="9" t="str">
        <f ca="1">+WORLDCUP!BD66</f>
        <v>Senegal</v>
      </c>
      <c r="H96" s="9" t="str">
        <f ca="1">+WORLDCUP!BD63</f>
        <v>Túnez</v>
      </c>
      <c r="I96" s="9" t="str">
        <f ca="1">+WORLDCUP!BD69</f>
        <v>Panamá</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Haití</v>
      </c>
      <c r="G97" s="9" t="str">
        <f ca="1">+WORLDCUP!BD65</f>
        <v>Arabia Saudita</v>
      </c>
      <c r="H97" s="9" t="str">
        <f ca="1">+WORLDCUP!BD63</f>
        <v>Túnez</v>
      </c>
      <c r="I97" s="9" t="str">
        <f ca="1">+WORLDCUP!BD69</f>
        <v>Panamá</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Haití</v>
      </c>
      <c r="G98" s="9" t="str">
        <f ca="1">+WORLDCUP!BD65</f>
        <v>Arabia Saudita</v>
      </c>
      <c r="H98" s="9" t="str">
        <f ca="1">+WORLDCUP!BD63</f>
        <v>Túnez</v>
      </c>
      <c r="I98" s="9" t="str">
        <f ca="1">+WORLDCUP!BD69</f>
        <v>Panamá</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Haití</v>
      </c>
      <c r="G99" s="9" t="str">
        <f ca="1">+WORLDCUP!BD65</f>
        <v>Arabia Saudita</v>
      </c>
      <c r="H99" s="9" t="str">
        <f ca="1">+WORLDCUP!BD63</f>
        <v>Túnez</v>
      </c>
      <c r="I99" s="9" t="str">
        <f ca="1">+WORLDCUP!BD69</f>
        <v>Panamá</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Haití</v>
      </c>
      <c r="G100" s="9" t="str">
        <f ca="1">+WORLDCUP!BD65</f>
        <v>Arabia Saudita</v>
      </c>
      <c r="H100" s="9" t="str">
        <f ca="1">+WORLDCUP!BD63</f>
        <v>Túnez</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Egipto</v>
      </c>
      <c r="E101" s="9" t="str">
        <f ca="1">+WORLDCUP!BD59</f>
        <v>Bosnia y Herzegovina</v>
      </c>
      <c r="F101" s="9" t="str">
        <f ca="1">+WORLDCUP!BD60</f>
        <v>Haití</v>
      </c>
      <c r="G101" s="9" t="str">
        <f ca="1">+WORLDCUP!BD67</f>
        <v>Argelia</v>
      </c>
      <c r="H101" s="9" t="str">
        <f ca="1">+WORLDCUP!BD63</f>
        <v>Túnez</v>
      </c>
      <c r="I101" s="9" t="str">
        <f ca="1">+WORLDCUP!BD69</f>
        <v>Panamá</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Egipto</v>
      </c>
      <c r="E102" s="9" t="str">
        <f ca="1">+WORLDCUP!BD59</f>
        <v>Bosnia y Herzegovina</v>
      </c>
      <c r="F102" s="9" t="str">
        <f ca="1">+WORLDCUP!BD60</f>
        <v>Haití</v>
      </c>
      <c r="G102" s="9" t="str">
        <f ca="1">+WORLDCUP!BD66</f>
        <v>Senegal</v>
      </c>
      <c r="H102" s="9" t="str">
        <f ca="1">+WORLDCUP!BD63</f>
        <v>Túnez</v>
      </c>
      <c r="I102" s="9" t="str">
        <f ca="1">+WORLDCUP!BD69</f>
        <v>Panamá</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Egipto</v>
      </c>
      <c r="E103" s="9" t="str">
        <f ca="1">+WORLDCUP!BD59</f>
        <v>Bosnia y Herzegovina</v>
      </c>
      <c r="F103" s="9" t="str">
        <f ca="1">+WORLDCUP!BD60</f>
        <v>Haití</v>
      </c>
      <c r="G103" s="9" t="str">
        <f ca="1">+WORLDCUP!BD67</f>
        <v>Argelia</v>
      </c>
      <c r="H103" s="9" t="str">
        <f ca="1">+WORLDCUP!BD63</f>
        <v>Túnez</v>
      </c>
      <c r="I103" s="9" t="str">
        <f ca="1">+WORLDCUP!BD69</f>
        <v>Panamá</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Egipto</v>
      </c>
      <c r="E104" s="9" t="str">
        <f ca="1">+WORLDCUP!BD59</f>
        <v>Bosnia y Herzegovina</v>
      </c>
      <c r="F104" s="9" t="str">
        <f ca="1">+WORLDCUP!BD60</f>
        <v>Haití</v>
      </c>
      <c r="G104" s="9" t="str">
        <f ca="1">+WORLDCUP!BD67</f>
        <v>Argelia</v>
      </c>
      <c r="H104" s="9" t="str">
        <f ca="1">+WORLDCUP!BD63</f>
        <v>Túnez</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Egipto</v>
      </c>
      <c r="E105" s="9" t="str">
        <f ca="1">+WORLDCUP!BD59</f>
        <v>Bosnia y Herzegovina</v>
      </c>
      <c r="F105" s="9" t="str">
        <f ca="1">+WORLDCUP!BD60</f>
        <v>Haití</v>
      </c>
      <c r="G105" s="9" t="str">
        <f ca="1">+WORLDCUP!BD65</f>
        <v>Arabia Saudita</v>
      </c>
      <c r="H105" s="9" t="str">
        <f ca="1">+WORLDCUP!BD63</f>
        <v>Túnez</v>
      </c>
      <c r="I105" s="9" t="str">
        <f ca="1">+WORLDCUP!BD69</f>
        <v>Panamá</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Egipto</v>
      </c>
      <c r="E106" s="9" t="str">
        <f ca="1">+WORLDCUP!BD59</f>
        <v>Bosnia y Herzegovina</v>
      </c>
      <c r="F106" s="9" t="str">
        <f ca="1">+WORLDCUP!BD60</f>
        <v>Haití</v>
      </c>
      <c r="G106" s="9" t="str">
        <f ca="1">+WORLDCUP!BD67</f>
        <v>Argelia</v>
      </c>
      <c r="H106" s="9" t="str">
        <f ca="1">+WORLDCUP!BD63</f>
        <v>Túnez</v>
      </c>
      <c r="I106" s="9" t="str">
        <f ca="1">+WORLDCUP!BD69</f>
        <v>Panamá</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Egipto</v>
      </c>
      <c r="E107" s="9" t="str">
        <f ca="1">+WORLDCUP!BD59</f>
        <v>Bosnia y Herzegovina</v>
      </c>
      <c r="F107" s="9" t="str">
        <f ca="1">+WORLDCUP!BD60</f>
        <v>Haití</v>
      </c>
      <c r="G107" s="9" t="str">
        <f ca="1">+WORLDCUP!BD67</f>
        <v>Argelia</v>
      </c>
      <c r="H107" s="9" t="str">
        <f ca="1">+WORLDCUP!BD63</f>
        <v>Túnez</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Egipto</v>
      </c>
      <c r="E108" s="9" t="str">
        <f ca="1">+WORLDCUP!BD59</f>
        <v>Bosnia y Herzegovina</v>
      </c>
      <c r="F108" s="9" t="str">
        <f ca="1">+WORLDCUP!BD60</f>
        <v>Haití</v>
      </c>
      <c r="G108" s="9" t="str">
        <f ca="1">+WORLDCUP!BD65</f>
        <v>Arabia Saudita</v>
      </c>
      <c r="H108" s="9" t="str">
        <f ca="1">+WORLDCUP!BD63</f>
        <v>Túnez</v>
      </c>
      <c r="I108" s="9" t="str">
        <f ca="1">+WORLDCUP!BD69</f>
        <v>Panamá</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Egipto</v>
      </c>
      <c r="E109" s="9" t="str">
        <f ca="1">+WORLDCUP!BD59</f>
        <v>Bosnia y Herzegovina</v>
      </c>
      <c r="F109" s="9" t="str">
        <f ca="1">+WORLDCUP!BD60</f>
        <v>Haití</v>
      </c>
      <c r="G109" s="9" t="str">
        <f ca="1">+WORLDCUP!BD65</f>
        <v>Arabia Saudita</v>
      </c>
      <c r="H109" s="9" t="str">
        <f ca="1">+WORLDCUP!BD63</f>
        <v>Túnez</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Egipto</v>
      </c>
      <c r="E110" s="9" t="str">
        <f ca="1">+WORLDCUP!BD59</f>
        <v>Bosnia y Herzegovina</v>
      </c>
      <c r="F110" s="9" t="str">
        <f ca="1">+WORLDCUP!BD60</f>
        <v>Haití</v>
      </c>
      <c r="G110" s="9" t="str">
        <f ca="1">+WORLDCUP!BD67</f>
        <v>Argelia</v>
      </c>
      <c r="H110" s="9" t="str">
        <f ca="1">+WORLDCUP!BD63</f>
        <v>Túnez</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Haití</v>
      </c>
      <c r="G111" s="9" t="str">
        <f ca="1">+WORLDCUP!BD66</f>
        <v>Senegal</v>
      </c>
      <c r="H111" s="9" t="str">
        <f ca="1">+WORLDCUP!BD61</f>
        <v>Estados Unidos</v>
      </c>
      <c r="I111" s="9" t="str">
        <f ca="1">+WORLDCUP!BD69</f>
        <v>Panamá</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Egipto</v>
      </c>
      <c r="E112" s="9" t="str">
        <f ca="1">+WORLDCUP!BD59</f>
        <v>Bosnia y Herzegovina</v>
      </c>
      <c r="F112" s="9" t="str">
        <f ca="1">+WORLDCUP!BD60</f>
        <v>Haití</v>
      </c>
      <c r="G112" s="9" t="str">
        <f ca="1">+WORLDCUP!BD67</f>
        <v>Argelia</v>
      </c>
      <c r="H112" s="9" t="str">
        <f ca="1">+WORLDCUP!BD61</f>
        <v>Estados Unidos</v>
      </c>
      <c r="I112" s="9" t="str">
        <f ca="1">+WORLDCUP!BD69</f>
        <v>Panamá</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Egipto</v>
      </c>
      <c r="E113" s="9" t="str">
        <f ca="1">+WORLDCUP!BD59</f>
        <v>Bosnia y Herzegovina</v>
      </c>
      <c r="F113" s="9" t="str">
        <f ca="1">+WORLDCUP!BD60</f>
        <v>Haití</v>
      </c>
      <c r="G113" s="9" t="str">
        <f ca="1">+WORLDCUP!BD67</f>
        <v>Argelia</v>
      </c>
      <c r="H113" s="9" t="str">
        <f ca="1">+WORLDCUP!BD61</f>
        <v>Estados Unidos</v>
      </c>
      <c r="I113" s="9" t="str">
        <f ca="1">+WORLDCUP!BD69</f>
        <v>Panamá</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Egipto</v>
      </c>
      <c r="E114" s="9" t="str">
        <f ca="1">+WORLDCUP!BD59</f>
        <v>Bosnia y Herzegovina</v>
      </c>
      <c r="F114" s="9" t="str">
        <f ca="1">+WORLDCUP!BD60</f>
        <v>Haití</v>
      </c>
      <c r="G114" s="9" t="str">
        <f ca="1">+WORLDCUP!BD66</f>
        <v>Senegal</v>
      </c>
      <c r="H114" s="9" t="str">
        <f ca="1">+WORLDCUP!BD61</f>
        <v>Estados Unidos</v>
      </c>
      <c r="I114" s="9" t="str">
        <f ca="1">+WORLDCUP!BD69</f>
        <v>Panamá</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Egipto</v>
      </c>
      <c r="E115" s="9" t="str">
        <f ca="1">+WORLDCUP!BD59</f>
        <v>Bosnia y Herzegovina</v>
      </c>
      <c r="F115" s="9" t="str">
        <f ca="1">+WORLDCUP!BD60</f>
        <v>Haití</v>
      </c>
      <c r="G115" s="9" t="str">
        <f ca="1">+WORLDCUP!BD67</f>
        <v>Argelia</v>
      </c>
      <c r="H115" s="9" t="str">
        <f ca="1">+WORLDCUP!BD61</f>
        <v>Estados Unidos</v>
      </c>
      <c r="I115" s="9" t="str">
        <f ca="1">+WORLDCUP!BD69</f>
        <v>Panamá</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Egipto</v>
      </c>
      <c r="E116" s="9" t="str">
        <f ca="1">+WORLDCUP!BD59</f>
        <v>Bosnia y Herzegovina</v>
      </c>
      <c r="F116" s="9" t="str">
        <f ca="1">+WORLDCUP!BD60</f>
        <v>Haití</v>
      </c>
      <c r="G116" s="9" t="str">
        <f ca="1">+WORLDCUP!BD67</f>
        <v>Argelia</v>
      </c>
      <c r="H116" s="9" t="str">
        <f ca="1">+WORLDCUP!BD61</f>
        <v>Estados Unidos</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Haití</v>
      </c>
      <c r="D117" s="9" t="str">
        <f ca="1">+WORLDCUP!BD67</f>
        <v>Argelia</v>
      </c>
      <c r="E117" s="9" t="str">
        <f ca="1">+WORLDCUP!BD59</f>
        <v>Bosnia y Herzegovina</v>
      </c>
      <c r="F117" s="9" t="str">
        <f ca="1">+WORLDCUP!BD61</f>
        <v>Estados Unidos</v>
      </c>
      <c r="G117" s="9" t="str">
        <f ca="1">+WORLDCUP!BD66</f>
        <v>Senegal</v>
      </c>
      <c r="H117" s="9" t="str">
        <f ca="1">+WORLDCUP!BD63</f>
        <v>Túnez</v>
      </c>
      <c r="I117" s="9" t="str">
        <f ca="1">+WORLDCUP!BD69</f>
        <v>Panamá</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Haití</v>
      </c>
      <c r="D118" s="9" t="str">
        <f ca="1">+WORLDCUP!BD67</f>
        <v>Argelia</v>
      </c>
      <c r="E118" s="9" t="str">
        <f ca="1">+WORLDCUP!BD59</f>
        <v>Bosnia y Herzegovina</v>
      </c>
      <c r="F118" s="9" t="str">
        <f ca="1">+WORLDCUP!BD61</f>
        <v>Estados Unidos</v>
      </c>
      <c r="G118" s="9" t="str">
        <f ca="1">+WORLDCUP!BD65</f>
        <v>Arabia Saudita</v>
      </c>
      <c r="H118" s="9" t="str">
        <f ca="1">+WORLDCUP!BD63</f>
        <v>Túnez</v>
      </c>
      <c r="I118" s="9" t="str">
        <f ca="1">+WORLDCUP!BD69</f>
        <v>Panamá</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Haití</v>
      </c>
      <c r="D119" s="9" t="str">
        <f ca="1">+WORLDCUP!BD66</f>
        <v>Senegal</v>
      </c>
      <c r="E119" s="9" t="str">
        <f ca="1">+WORLDCUP!BD59</f>
        <v>Bosnia y Herzegovina</v>
      </c>
      <c r="F119" s="9" t="str">
        <f ca="1">+WORLDCUP!BD61</f>
        <v>Estados Unidos</v>
      </c>
      <c r="G119" s="9" t="str">
        <f ca="1">+WORLDCUP!BD65</f>
        <v>Arabia Saudita</v>
      </c>
      <c r="H119" s="9" t="str">
        <f ca="1">+WORLDCUP!BD63</f>
        <v>Túnez</v>
      </c>
      <c r="I119" s="9" t="str">
        <f ca="1">+WORLDCUP!BD69</f>
        <v>Panamá</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Haití</v>
      </c>
      <c r="D120" s="9" t="str">
        <f ca="1">+WORLDCUP!BD67</f>
        <v>Argelia</v>
      </c>
      <c r="E120" s="9" t="str">
        <f ca="1">+WORLDCUP!BD59</f>
        <v>Bosnia y Herzegovina</v>
      </c>
      <c r="F120" s="9" t="str">
        <f ca="1">+WORLDCUP!BD61</f>
        <v>Estados Unidos</v>
      </c>
      <c r="G120" s="9" t="str">
        <f ca="1">+WORLDCUP!BD65</f>
        <v>Arabia Saudita</v>
      </c>
      <c r="H120" s="9" t="str">
        <f ca="1">+WORLDCUP!BD63</f>
        <v>Túnez</v>
      </c>
      <c r="I120" s="9" t="str">
        <f ca="1">+WORLDCUP!BD69</f>
        <v>Panamá</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Haití</v>
      </c>
      <c r="D121" s="9" t="str">
        <f ca="1">+WORLDCUP!BD67</f>
        <v>Argelia</v>
      </c>
      <c r="E121" s="9" t="str">
        <f ca="1">+WORLDCUP!BD59</f>
        <v>Bosnia y Herzegovina</v>
      </c>
      <c r="F121" s="9" t="str">
        <f ca="1">+WORLDCUP!BD61</f>
        <v>Estados Unidos</v>
      </c>
      <c r="G121" s="9" t="str">
        <f ca="1">+WORLDCUP!BD65</f>
        <v>Arabia Saudita</v>
      </c>
      <c r="H121" s="9" t="str">
        <f ca="1">+WORLDCUP!BD63</f>
        <v>Túnez</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Haití</v>
      </c>
      <c r="D122" s="9" t="str">
        <f ca="1">+WORLDCUP!BD64</f>
        <v>Egipto</v>
      </c>
      <c r="E122" s="9" t="str">
        <f ca="1">+WORLDCUP!BD59</f>
        <v>Bosnia y Herzegovina</v>
      </c>
      <c r="F122" s="9" t="str">
        <f ca="1">+WORLDCUP!BD61</f>
        <v>Estados Unidos</v>
      </c>
      <c r="G122" s="9" t="str">
        <f ca="1">+WORLDCUP!BD67</f>
        <v>Argelia</v>
      </c>
      <c r="H122" s="9" t="str">
        <f ca="1">+WORLDCUP!BD63</f>
        <v>Túnez</v>
      </c>
      <c r="I122" s="9" t="str">
        <f ca="1">+WORLDCUP!BD69</f>
        <v>Panamá</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Haití</v>
      </c>
      <c r="D123" s="9" t="str">
        <f ca="1">+WORLDCUP!BD64</f>
        <v>Egipto</v>
      </c>
      <c r="E123" s="9" t="str">
        <f ca="1">+WORLDCUP!BD59</f>
        <v>Bosnia y Herzegovina</v>
      </c>
      <c r="F123" s="9" t="str">
        <f ca="1">+WORLDCUP!BD61</f>
        <v>Estados Unidos</v>
      </c>
      <c r="G123" s="9" t="str">
        <f ca="1">+WORLDCUP!BD66</f>
        <v>Senegal</v>
      </c>
      <c r="H123" s="9" t="str">
        <f ca="1">+WORLDCUP!BD63</f>
        <v>Túnez</v>
      </c>
      <c r="I123" s="9" t="str">
        <f ca="1">+WORLDCUP!BD69</f>
        <v>Panamá</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Haití</v>
      </c>
      <c r="D124" s="9" t="str">
        <f ca="1">+WORLDCUP!BD64</f>
        <v>Egipto</v>
      </c>
      <c r="E124" s="9" t="str">
        <f ca="1">+WORLDCUP!BD59</f>
        <v>Bosnia y Herzegovina</v>
      </c>
      <c r="F124" s="9" t="str">
        <f ca="1">+WORLDCUP!BD61</f>
        <v>Estados Unidos</v>
      </c>
      <c r="G124" s="9" t="str">
        <f ca="1">+WORLDCUP!BD67</f>
        <v>Argelia</v>
      </c>
      <c r="H124" s="9" t="str">
        <f ca="1">+WORLDCUP!BD63</f>
        <v>Túnez</v>
      </c>
      <c r="I124" s="9" t="str">
        <f ca="1">+WORLDCUP!BD69</f>
        <v>Panamá</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Haití</v>
      </c>
      <c r="D125" s="9" t="str">
        <f ca="1">+WORLDCUP!BD64</f>
        <v>Egipto</v>
      </c>
      <c r="E125" s="9" t="str">
        <f ca="1">+WORLDCUP!BD59</f>
        <v>Bosnia y Herzegovina</v>
      </c>
      <c r="F125" s="9" t="str">
        <f ca="1">+WORLDCUP!BD61</f>
        <v>Estados Unidos</v>
      </c>
      <c r="G125" s="9" t="str">
        <f ca="1">+WORLDCUP!BD67</f>
        <v>Argelia</v>
      </c>
      <c r="H125" s="9" t="str">
        <f ca="1">+WORLDCUP!BD63</f>
        <v>Túnez</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Haití</v>
      </c>
      <c r="D126" s="9" t="str">
        <f ca="1">+WORLDCUP!BD64</f>
        <v>Egipto</v>
      </c>
      <c r="E126" s="9" t="str">
        <f ca="1">+WORLDCUP!BD59</f>
        <v>Bosnia y Herzegovina</v>
      </c>
      <c r="F126" s="9" t="str">
        <f ca="1">+WORLDCUP!BD61</f>
        <v>Estados Unidos</v>
      </c>
      <c r="G126" s="9" t="str">
        <f ca="1">+WORLDCUP!BD65</f>
        <v>Arabia Saudita</v>
      </c>
      <c r="H126" s="9" t="str">
        <f ca="1">+WORLDCUP!BD63</f>
        <v>Túnez</v>
      </c>
      <c r="I126" s="9" t="str">
        <f ca="1">+WORLDCUP!BD69</f>
        <v>Panamá</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Haití</v>
      </c>
      <c r="D127" s="9" t="str">
        <f ca="1">+WORLDCUP!BD64</f>
        <v>Egipto</v>
      </c>
      <c r="E127" s="9" t="str">
        <f ca="1">+WORLDCUP!BD59</f>
        <v>Bosnia y Herzegovina</v>
      </c>
      <c r="F127" s="9" t="str">
        <f ca="1">+WORLDCUP!BD61</f>
        <v>Estados Unidos</v>
      </c>
      <c r="G127" s="9" t="str">
        <f ca="1">+WORLDCUP!BD65</f>
        <v>Arabia Saudita</v>
      </c>
      <c r="H127" s="9" t="str">
        <f ca="1">+WORLDCUP!BD63</f>
        <v>Túnez</v>
      </c>
      <c r="I127" s="9" t="str">
        <f ca="1">+WORLDCUP!BD69</f>
        <v>Panamá</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Egipto</v>
      </c>
      <c r="E128" s="9" t="str">
        <f ca="1">+WORLDCUP!BD59</f>
        <v>Bosnia y Herzegovina</v>
      </c>
      <c r="F128" s="9" t="str">
        <f ca="1">+WORLDCUP!BD60</f>
        <v>Haití</v>
      </c>
      <c r="G128" s="9" t="str">
        <f ca="1">+WORLDCUP!BD67</f>
        <v>Argelia</v>
      </c>
      <c r="H128" s="9" t="str">
        <f ca="1">+WORLDCUP!BD63</f>
        <v>Túnez</v>
      </c>
      <c r="I128" s="9" t="str">
        <f ca="1">+WORLDCUP!BD61</f>
        <v>Estados Unidos</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Haití</v>
      </c>
      <c r="D129" s="9" t="str">
        <f ca="1">+WORLDCUP!BD64</f>
        <v>Egipto</v>
      </c>
      <c r="E129" s="9" t="str">
        <f ca="1">+WORLDCUP!BD59</f>
        <v>Bosnia y Herzegovina</v>
      </c>
      <c r="F129" s="9" t="str">
        <f ca="1">+WORLDCUP!BD61</f>
        <v>Estados Unidos</v>
      </c>
      <c r="G129" s="9" t="str">
        <f ca="1">+WORLDCUP!BD65</f>
        <v>Arabia Saudita</v>
      </c>
      <c r="H129" s="9" t="str">
        <f ca="1">+WORLDCUP!BD63</f>
        <v>Túnez</v>
      </c>
      <c r="I129" s="9" t="str">
        <f ca="1">+WORLDCUP!BD69</f>
        <v>Panamá</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Haití</v>
      </c>
      <c r="D130" s="9" t="str">
        <f ca="1">+WORLDCUP!BD64</f>
        <v>Egipto</v>
      </c>
      <c r="E130" s="9" t="str">
        <f ca="1">+WORLDCUP!BD59</f>
        <v>Bosnia y Herzegovina</v>
      </c>
      <c r="F130" s="9" t="str">
        <f ca="1">+WORLDCUP!BD61</f>
        <v>Estados Unidos</v>
      </c>
      <c r="G130" s="9" t="str">
        <f ca="1">+WORLDCUP!BD65</f>
        <v>Arabia Saudita</v>
      </c>
      <c r="H130" s="9" t="str">
        <f ca="1">+WORLDCUP!BD63</f>
        <v>Túnez</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Egipto</v>
      </c>
      <c r="E131" s="9" t="str">
        <f ca="1">+WORLDCUP!BD59</f>
        <v>Bosnia y Herzegovina</v>
      </c>
      <c r="F131" s="9" t="str">
        <f ca="1">+WORLDCUP!BD60</f>
        <v>Haití</v>
      </c>
      <c r="G131" s="9" t="str">
        <f ca="1">+WORLDCUP!BD67</f>
        <v>Argelia</v>
      </c>
      <c r="H131" s="9" t="str">
        <f ca="1">+WORLDCUP!BD63</f>
        <v>Túnez</v>
      </c>
      <c r="I131" s="9" t="str">
        <f ca="1">+WORLDCUP!BD61</f>
        <v>Estados Unidos</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Haití</v>
      </c>
      <c r="G132" s="9" t="str">
        <f ca="1">+WORLDCUP!BD66</f>
        <v>Senegal</v>
      </c>
      <c r="H132" s="9" t="str">
        <f ca="1">+WORLDCUP!BD61</f>
        <v>Estados Unidos</v>
      </c>
      <c r="I132" s="9" t="str">
        <f ca="1">+WORLDCUP!BD69</f>
        <v>Panamá</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Haití</v>
      </c>
      <c r="G133" s="9" t="str">
        <f ca="1">+WORLDCUP!BD65</f>
        <v>Arabia Saudita</v>
      </c>
      <c r="H133" s="9" t="str">
        <f ca="1">+WORLDCUP!BD61</f>
        <v>Estados Unidos</v>
      </c>
      <c r="I133" s="9" t="str">
        <f ca="1">+WORLDCUP!BD69</f>
        <v>Panamá</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Haití</v>
      </c>
      <c r="G134" s="9" t="str">
        <f ca="1">+WORLDCUP!BD65</f>
        <v>Arabia Saudita</v>
      </c>
      <c r="H134" s="9" t="str">
        <f ca="1">+WORLDCUP!BD61</f>
        <v>Estados Unidos</v>
      </c>
      <c r="I134" s="9" t="str">
        <f ca="1">+WORLDCUP!BD69</f>
        <v>Panamá</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Haití</v>
      </c>
      <c r="G135" s="9" t="str">
        <f ca="1">+WORLDCUP!BD65</f>
        <v>Arabia Saudita</v>
      </c>
      <c r="H135" s="9" t="str">
        <f ca="1">+WORLDCUP!BD61</f>
        <v>Estados Unidos</v>
      </c>
      <c r="I135" s="9" t="str">
        <f ca="1">+WORLDCUP!BD69</f>
        <v>Panamá</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Haití</v>
      </c>
      <c r="G136" s="9" t="str">
        <f ca="1">+WORLDCUP!BD65</f>
        <v>Arabia Saudita</v>
      </c>
      <c r="H136" s="9" t="str">
        <f ca="1">+WORLDCUP!BD61</f>
        <v>Estados Unidos</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Egipto</v>
      </c>
      <c r="E137" s="9" t="str">
        <f ca="1">+WORLDCUP!BD59</f>
        <v>Bosnia y Herzegovina</v>
      </c>
      <c r="F137" s="9" t="str">
        <f ca="1">+WORLDCUP!BD60</f>
        <v>Haití</v>
      </c>
      <c r="G137" s="9" t="str">
        <f ca="1">+WORLDCUP!BD67</f>
        <v>Argelia</v>
      </c>
      <c r="H137" s="9" t="str">
        <f ca="1">+WORLDCUP!BD61</f>
        <v>Estados Unidos</v>
      </c>
      <c r="I137" s="9" t="str">
        <f ca="1">+WORLDCUP!BD69</f>
        <v>Panamá</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Egipto</v>
      </c>
      <c r="E138" s="9" t="str">
        <f ca="1">+WORLDCUP!BD59</f>
        <v>Bosnia y Herzegovina</v>
      </c>
      <c r="F138" s="9" t="str">
        <f ca="1">+WORLDCUP!BD60</f>
        <v>Haití</v>
      </c>
      <c r="G138" s="9" t="str">
        <f ca="1">+WORLDCUP!BD66</f>
        <v>Senegal</v>
      </c>
      <c r="H138" s="9" t="str">
        <f ca="1">+WORLDCUP!BD61</f>
        <v>Estados Unidos</v>
      </c>
      <c r="I138" s="9" t="str">
        <f ca="1">+WORLDCUP!BD69</f>
        <v>Panamá</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Egipto</v>
      </c>
      <c r="E139" s="9" t="str">
        <f ca="1">+WORLDCUP!BD59</f>
        <v>Bosnia y Herzegovina</v>
      </c>
      <c r="F139" s="9" t="str">
        <f ca="1">+WORLDCUP!BD60</f>
        <v>Haití</v>
      </c>
      <c r="G139" s="9" t="str">
        <f ca="1">+WORLDCUP!BD67</f>
        <v>Argelia</v>
      </c>
      <c r="H139" s="9" t="str">
        <f ca="1">+WORLDCUP!BD61</f>
        <v>Estados Unidos</v>
      </c>
      <c r="I139" s="9" t="str">
        <f ca="1">+WORLDCUP!BD69</f>
        <v>Panamá</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Egipto</v>
      </c>
      <c r="E140" s="9" t="str">
        <f ca="1">+WORLDCUP!BD59</f>
        <v>Bosnia y Herzegovina</v>
      </c>
      <c r="F140" s="9" t="str">
        <f ca="1">+WORLDCUP!BD60</f>
        <v>Haití</v>
      </c>
      <c r="G140" s="9" t="str">
        <f ca="1">+WORLDCUP!BD67</f>
        <v>Argelia</v>
      </c>
      <c r="H140" s="9" t="str">
        <f ca="1">+WORLDCUP!BD61</f>
        <v>Estados Unidos</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Egipto</v>
      </c>
      <c r="E141" s="9" t="str">
        <f ca="1">+WORLDCUP!BD59</f>
        <v>Bosnia y Herzegovina</v>
      </c>
      <c r="F141" s="9" t="str">
        <f ca="1">+WORLDCUP!BD60</f>
        <v>Haití</v>
      </c>
      <c r="G141" s="9" t="str">
        <f ca="1">+WORLDCUP!BD65</f>
        <v>Arabia Saudita</v>
      </c>
      <c r="H141" s="9" t="str">
        <f ca="1">+WORLDCUP!BD61</f>
        <v>Estados Unidos</v>
      </c>
      <c r="I141" s="9" t="str">
        <f ca="1">+WORLDCUP!BD69</f>
        <v>Panamá</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Egipto</v>
      </c>
      <c r="E142" s="9" t="str">
        <f ca="1">+WORLDCUP!BD59</f>
        <v>Bosnia y Herzegovina</v>
      </c>
      <c r="F142" s="9" t="str">
        <f ca="1">+WORLDCUP!BD60</f>
        <v>Haití</v>
      </c>
      <c r="G142" s="9" t="str">
        <f ca="1">+WORLDCUP!BD67</f>
        <v>Argelia</v>
      </c>
      <c r="H142" s="9" t="str">
        <f ca="1">+WORLDCUP!BD61</f>
        <v>Estados Unidos</v>
      </c>
      <c r="I142" s="9" t="str">
        <f ca="1">+WORLDCUP!BD69</f>
        <v>Panamá</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Egipto</v>
      </c>
      <c r="E143" s="9" t="str">
        <f ca="1">+WORLDCUP!BD59</f>
        <v>Bosnia y Herzegovina</v>
      </c>
      <c r="F143" s="9" t="str">
        <f ca="1">+WORLDCUP!BD60</f>
        <v>Haití</v>
      </c>
      <c r="G143" s="9" t="str">
        <f ca="1">+WORLDCUP!BD67</f>
        <v>Argelia</v>
      </c>
      <c r="H143" s="9" t="str">
        <f ca="1">+WORLDCUP!BD61</f>
        <v>Estados Unidos</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Egipto</v>
      </c>
      <c r="E144" s="9" t="str">
        <f ca="1">+WORLDCUP!BD59</f>
        <v>Bosnia y Herzegovina</v>
      </c>
      <c r="F144" s="9" t="str">
        <f ca="1">+WORLDCUP!BD60</f>
        <v>Haití</v>
      </c>
      <c r="G144" s="9" t="str">
        <f ca="1">+WORLDCUP!BD65</f>
        <v>Arabia Saudita</v>
      </c>
      <c r="H144" s="9" t="str">
        <f ca="1">+WORLDCUP!BD61</f>
        <v>Estados Unidos</v>
      </c>
      <c r="I144" s="9" t="str">
        <f ca="1">+WORLDCUP!BD69</f>
        <v>Panamá</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Egipto</v>
      </c>
      <c r="E145" s="9" t="str">
        <f ca="1">+WORLDCUP!BD59</f>
        <v>Bosnia y Herzegovina</v>
      </c>
      <c r="F145" s="9" t="str">
        <f ca="1">+WORLDCUP!BD60</f>
        <v>Haití</v>
      </c>
      <c r="G145" s="9" t="str">
        <f ca="1">+WORLDCUP!BD65</f>
        <v>Arabia Saudita</v>
      </c>
      <c r="H145" s="9" t="str">
        <f ca="1">+WORLDCUP!BD61</f>
        <v>Estados Unidos</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Egipto</v>
      </c>
      <c r="E146" s="9" t="str">
        <f ca="1">+WORLDCUP!BD59</f>
        <v>Bosnia y Herzegovina</v>
      </c>
      <c r="F146" s="9" t="str">
        <f ca="1">+WORLDCUP!BD60</f>
        <v>Haití</v>
      </c>
      <c r="G146" s="9" t="str">
        <f ca="1">+WORLDCUP!BD67</f>
        <v>Argelia</v>
      </c>
      <c r="H146" s="9" t="str">
        <f ca="1">+WORLDCUP!BD61</f>
        <v>Estados Unidos</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Haití</v>
      </c>
      <c r="D147" s="9" t="str">
        <f ca="1">+WORLDCUP!BD67</f>
        <v>Argelia</v>
      </c>
      <c r="E147" s="9" t="str">
        <f ca="1">+WORLDCUP!BD59</f>
        <v>Bosnia y Herzegovina</v>
      </c>
      <c r="F147" s="9" t="str">
        <f ca="1">+WORLDCUP!BD61</f>
        <v>Estados Unidos</v>
      </c>
      <c r="G147" s="9" t="str">
        <f ca="1">+WORLDCUP!BD62</f>
        <v>Costa de Marfil</v>
      </c>
      <c r="H147" s="9" t="str">
        <f ca="1">+WORLDCUP!BD63</f>
        <v>Túnez</v>
      </c>
      <c r="I147" s="9" t="str">
        <f ca="1">+WORLDCUP!BD69</f>
        <v>Panamá</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Haití</v>
      </c>
      <c r="D148" s="9" t="str">
        <f ca="1">+WORLDCUP!BD62</f>
        <v>Costa de Marfil</v>
      </c>
      <c r="E148" s="9" t="str">
        <f ca="1">+WORLDCUP!BD59</f>
        <v>Bosnia y Herzegovina</v>
      </c>
      <c r="F148" s="9" t="str">
        <f ca="1">+WORLDCUP!BD61</f>
        <v>Estados Unidos</v>
      </c>
      <c r="G148" s="9" t="str">
        <f ca="1">+WORLDCUP!BD66</f>
        <v>Senegal</v>
      </c>
      <c r="H148" s="9" t="str">
        <f ca="1">+WORLDCUP!BD63</f>
        <v>Túnez</v>
      </c>
      <c r="I148" s="9" t="str">
        <f ca="1">+WORLDCUP!BD69</f>
        <v>Panamá</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Haití</v>
      </c>
      <c r="D149" s="9" t="str">
        <f ca="1">+WORLDCUP!BD67</f>
        <v>Argelia</v>
      </c>
      <c r="E149" s="9" t="str">
        <f ca="1">+WORLDCUP!BD59</f>
        <v>Bosnia y Herzegovina</v>
      </c>
      <c r="F149" s="9" t="str">
        <f ca="1">+WORLDCUP!BD61</f>
        <v>Estados Unidos</v>
      </c>
      <c r="G149" s="9" t="str">
        <f ca="1">+WORLDCUP!BD62</f>
        <v>Costa de Marfil</v>
      </c>
      <c r="H149" s="9" t="str">
        <f ca="1">+WORLDCUP!BD63</f>
        <v>Túnez</v>
      </c>
      <c r="I149" s="9" t="str">
        <f ca="1">+WORLDCUP!BD69</f>
        <v>Panamá</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Haití</v>
      </c>
      <c r="D150" s="9" t="str">
        <f ca="1">+WORLDCUP!BD67</f>
        <v>Argelia</v>
      </c>
      <c r="E150" s="9" t="str">
        <f ca="1">+WORLDCUP!BD59</f>
        <v>Bosnia y Herzegovina</v>
      </c>
      <c r="F150" s="9" t="str">
        <f ca="1">+WORLDCUP!BD61</f>
        <v>Estados Unidos</v>
      </c>
      <c r="G150" s="9" t="str">
        <f ca="1">+WORLDCUP!BD62</f>
        <v>Costa de Marfil</v>
      </c>
      <c r="H150" s="9" t="str">
        <f ca="1">+WORLDCUP!BD63</f>
        <v>Túnez</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Haití</v>
      </c>
      <c r="D151" s="9" t="str">
        <f ca="1">+WORLDCUP!BD62</f>
        <v>Costa de Marfil</v>
      </c>
      <c r="E151" s="9" t="str">
        <f ca="1">+WORLDCUP!BD59</f>
        <v>Bosnia y Herzegovina</v>
      </c>
      <c r="F151" s="9" t="str">
        <f ca="1">+WORLDCUP!BD61</f>
        <v>Estados Unidos</v>
      </c>
      <c r="G151" s="9" t="str">
        <f ca="1">+WORLDCUP!BD65</f>
        <v>Arabia Saudita</v>
      </c>
      <c r="H151" s="9" t="str">
        <f ca="1">+WORLDCUP!BD63</f>
        <v>Túnez</v>
      </c>
      <c r="I151" s="9" t="str">
        <f ca="1">+WORLDCUP!BD69</f>
        <v>Panamá</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Haití</v>
      </c>
      <c r="D152" s="9" t="str">
        <f ca="1">+WORLDCUP!BD67</f>
        <v>Argelia</v>
      </c>
      <c r="E152" s="9" t="str">
        <f ca="1">+WORLDCUP!BD59</f>
        <v>Bosnia y Herzegovina</v>
      </c>
      <c r="F152" s="9" t="str">
        <f ca="1">+WORLDCUP!BD61</f>
        <v>Estados Unidos</v>
      </c>
      <c r="G152" s="9" t="str">
        <f ca="1">+WORLDCUP!BD65</f>
        <v>Arabia Saudita</v>
      </c>
      <c r="H152" s="9" t="str">
        <f ca="1">+WORLDCUP!BD63</f>
        <v>Túnez</v>
      </c>
      <c r="I152" s="9" t="str">
        <f ca="1">+WORLDCUP!BD69</f>
        <v>Panamá</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Haití</v>
      </c>
      <c r="D153" s="9" t="str">
        <f ca="1">+WORLDCUP!BD67</f>
        <v>Argelia</v>
      </c>
      <c r="E153" s="9" t="str">
        <f ca="1">+WORLDCUP!BD59</f>
        <v>Bosnia y Herzegovina</v>
      </c>
      <c r="F153" s="9" t="str">
        <f ca="1">+WORLDCUP!BD61</f>
        <v>Estados Unidos</v>
      </c>
      <c r="G153" s="9" t="str">
        <f ca="1">+WORLDCUP!BD65</f>
        <v>Arabia Saudita</v>
      </c>
      <c r="H153" s="9" t="str">
        <f ca="1">+WORLDCUP!BD63</f>
        <v>Túnez</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Haití</v>
      </c>
      <c r="D154" s="9" t="str">
        <f ca="1">+WORLDCUP!BD62</f>
        <v>Costa de Marfil</v>
      </c>
      <c r="E154" s="9" t="str">
        <f ca="1">+WORLDCUP!BD59</f>
        <v>Bosnia y Herzegovina</v>
      </c>
      <c r="F154" s="9" t="str">
        <f ca="1">+WORLDCUP!BD61</f>
        <v>Estados Unidos</v>
      </c>
      <c r="G154" s="9" t="str">
        <f ca="1">+WORLDCUP!BD65</f>
        <v>Arabia Saudita</v>
      </c>
      <c r="H154" s="9" t="str">
        <f ca="1">+WORLDCUP!BD63</f>
        <v>Túnez</v>
      </c>
      <c r="I154" s="9" t="str">
        <f ca="1">+WORLDCUP!BD69</f>
        <v>Panamá</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Haití</v>
      </c>
      <c r="D155" s="9" t="str">
        <f ca="1">+WORLDCUP!BD62</f>
        <v>Costa de Marfil</v>
      </c>
      <c r="E155" s="9" t="str">
        <f ca="1">+WORLDCUP!BD59</f>
        <v>Bosnia y Herzegovina</v>
      </c>
      <c r="F155" s="9" t="str">
        <f ca="1">+WORLDCUP!BD61</f>
        <v>Estados Unidos</v>
      </c>
      <c r="G155" s="9" t="str">
        <f ca="1">+WORLDCUP!BD65</f>
        <v>Arabia Saudita</v>
      </c>
      <c r="H155" s="9" t="str">
        <f ca="1">+WORLDCUP!BD63</f>
        <v>Túnez</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Haití</v>
      </c>
      <c r="D156" s="9" t="str">
        <f ca="1">+WORLDCUP!BD67</f>
        <v>Argelia</v>
      </c>
      <c r="E156" s="9" t="str">
        <f ca="1">+WORLDCUP!BD59</f>
        <v>Bosnia y Herzegovina</v>
      </c>
      <c r="F156" s="9" t="str">
        <f ca="1">+WORLDCUP!BD61</f>
        <v>Estados Unidos</v>
      </c>
      <c r="G156" s="9" t="str">
        <f ca="1">+WORLDCUP!BD65</f>
        <v>Arabia Saudita</v>
      </c>
      <c r="H156" s="9" t="str">
        <f ca="1">+WORLDCUP!BD63</f>
        <v>Túnez</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Haití</v>
      </c>
      <c r="D157" s="9" t="str">
        <f ca="1">+WORLDCUP!BD64</f>
        <v>Egipto</v>
      </c>
      <c r="E157" s="9" t="str">
        <f ca="1">+WORLDCUP!BD59</f>
        <v>Bosnia y Herzegovina</v>
      </c>
      <c r="F157" s="9" t="str">
        <f ca="1">+WORLDCUP!BD61</f>
        <v>Estados Unidos</v>
      </c>
      <c r="G157" s="9" t="str">
        <f ca="1">+WORLDCUP!BD62</f>
        <v>Costa de Marfil</v>
      </c>
      <c r="H157" s="9" t="str">
        <f ca="1">+WORLDCUP!BD63</f>
        <v>Túnez</v>
      </c>
      <c r="I157" s="9" t="str">
        <f ca="1">+WORLDCUP!BD69</f>
        <v>Panamá</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Haití</v>
      </c>
      <c r="D158" s="9" t="str">
        <f ca="1">+WORLDCUP!BD64</f>
        <v>Egipto</v>
      </c>
      <c r="E158" s="9" t="str">
        <f ca="1">+WORLDCUP!BD59</f>
        <v>Bosnia y Herzegovina</v>
      </c>
      <c r="F158" s="9" t="str">
        <f ca="1">+WORLDCUP!BD61</f>
        <v>Estados Unidos</v>
      </c>
      <c r="G158" s="9" t="str">
        <f ca="1">+WORLDCUP!BD67</f>
        <v>Argelia</v>
      </c>
      <c r="H158" s="9" t="str">
        <f ca="1">+WORLDCUP!BD63</f>
        <v>Túnez</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Haití</v>
      </c>
      <c r="D159" s="9" t="str">
        <f ca="1">+WORLDCUP!BD64</f>
        <v>Egipto</v>
      </c>
      <c r="E159" s="9" t="str">
        <f ca="1">+WORLDCUP!BD59</f>
        <v>Bosnia y Herzegovina</v>
      </c>
      <c r="F159" s="9" t="str">
        <f ca="1">+WORLDCUP!BD61</f>
        <v>Estados Unidos</v>
      </c>
      <c r="G159" s="9" t="str">
        <f ca="1">+WORLDCUP!BD67</f>
        <v>Argelia</v>
      </c>
      <c r="H159" s="9" t="str">
        <f ca="1">+WORLDCUP!BD63</f>
        <v>Túnez</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Haití</v>
      </c>
      <c r="D160" s="9" t="str">
        <f ca="1">+WORLDCUP!BD64</f>
        <v>Egipto</v>
      </c>
      <c r="E160" s="9" t="str">
        <f ca="1">+WORLDCUP!BD59</f>
        <v>Bosnia y Herzegovina</v>
      </c>
      <c r="F160" s="9" t="str">
        <f ca="1">+WORLDCUP!BD61</f>
        <v>Estados Unidos</v>
      </c>
      <c r="G160" s="9" t="str">
        <f ca="1">+WORLDCUP!BD62</f>
        <v>Costa de Marfil</v>
      </c>
      <c r="H160" s="9" t="str">
        <f ca="1">+WORLDCUP!BD63</f>
        <v>Túnez</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Haití</v>
      </c>
      <c r="D161" s="9" t="str">
        <f ca="1">+WORLDCUP!BD64</f>
        <v>Egipto</v>
      </c>
      <c r="E161" s="9" t="str">
        <f ca="1">+WORLDCUP!BD59</f>
        <v>Bosnia y Herzegovina</v>
      </c>
      <c r="F161" s="9" t="str">
        <f ca="1">+WORLDCUP!BD61</f>
        <v>Estados Unidos</v>
      </c>
      <c r="G161" s="9" t="str">
        <f ca="1">+WORLDCUP!BD62</f>
        <v>Costa de Marfil</v>
      </c>
      <c r="H161" s="9" t="str">
        <f ca="1">+WORLDCUP!BD63</f>
        <v>Túnez</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Haití</v>
      </c>
      <c r="D162" s="9" t="str">
        <f ca="1">+WORLDCUP!BD64</f>
        <v>Egipto</v>
      </c>
      <c r="E162" s="9" t="str">
        <f ca="1">+WORLDCUP!BD59</f>
        <v>Bosnia y Herzegovina</v>
      </c>
      <c r="F162" s="9" t="str">
        <f ca="1">+WORLDCUP!BD61</f>
        <v>Estados Unidos</v>
      </c>
      <c r="G162" s="9" t="str">
        <f ca="1">+WORLDCUP!BD67</f>
        <v>Argelia</v>
      </c>
      <c r="H162" s="9" t="str">
        <f ca="1">+WORLDCUP!BD63</f>
        <v>Túnez</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Haití</v>
      </c>
      <c r="D163" s="9" t="str">
        <f ca="1">+WORLDCUP!BD64</f>
        <v>Egipto</v>
      </c>
      <c r="E163" s="9" t="str">
        <f ca="1">+WORLDCUP!BD59</f>
        <v>Bosnia y Herzegovina</v>
      </c>
      <c r="F163" s="9" t="str">
        <f ca="1">+WORLDCUP!BD61</f>
        <v>Estados Unidos</v>
      </c>
      <c r="G163" s="9" t="str">
        <f ca="1">+WORLDCUP!BD65</f>
        <v>Arabia Saudita</v>
      </c>
      <c r="H163" s="9" t="str">
        <f ca="1">+WORLDCUP!BD63</f>
        <v>Túnez</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Haití</v>
      </c>
      <c r="D164" s="9" t="str">
        <f ca="1">+WORLDCUP!BD64</f>
        <v>Egipto</v>
      </c>
      <c r="E164" s="9" t="str">
        <f ca="1">+WORLDCUP!BD59</f>
        <v>Bosnia y Herzegovina</v>
      </c>
      <c r="F164" s="9" t="str">
        <f ca="1">+WORLDCUP!BD61</f>
        <v>Estados Unidos</v>
      </c>
      <c r="G164" s="9" t="str">
        <f ca="1">+WORLDCUP!BD65</f>
        <v>Arabia Saudita</v>
      </c>
      <c r="H164" s="9" t="str">
        <f ca="1">+WORLDCUP!BD63</f>
        <v>Túnez</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Bosnia y Herzegovina</v>
      </c>
      <c r="F165" s="9" t="str">
        <f ca="1">+WORLDCUP!BD60</f>
        <v>Haití</v>
      </c>
      <c r="G165" s="9" t="str">
        <f ca="1">+WORLDCUP!BD67</f>
        <v>Argelia</v>
      </c>
      <c r="H165" s="9" t="str">
        <f ca="1">+WORLDCUP!BD63</f>
        <v>Túnez</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Haití</v>
      </c>
      <c r="D166" s="9" t="str">
        <f ca="1">+WORLDCUP!BD64</f>
        <v>Egipto</v>
      </c>
      <c r="E166" s="9" t="str">
        <f ca="1">+WORLDCUP!BD59</f>
        <v>Bosnia y Herzegovina</v>
      </c>
      <c r="F166" s="9" t="str">
        <f ca="1">+WORLDCUP!BD61</f>
        <v>Estados Unidos</v>
      </c>
      <c r="G166" s="9" t="str">
        <f ca="1">+WORLDCUP!BD65</f>
        <v>Arabia Saudita</v>
      </c>
      <c r="H166" s="9" t="str">
        <f ca="1">+WORLDCUP!BD63</f>
        <v>Túnez</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Túnez</v>
      </c>
      <c r="G167" s="9" t="str">
        <f ca="1">+WORLDCUP!BD58</f>
        <v>República Checa</v>
      </c>
      <c r="H167" s="9" t="str">
        <f ca="1">+WORLDCUP!BD64</f>
        <v>Egipto</v>
      </c>
      <c r="I167" s="9" t="str">
        <f ca="1">+WORLDCUP!BD69</f>
        <v>Panamá</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Panamá</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Túnez</v>
      </c>
      <c r="G169" s="9" t="str">
        <f ca="1">+WORLDCUP!BD58</f>
        <v>República Checa</v>
      </c>
      <c r="H169" s="9" t="str">
        <f ca="1">+WORLDCUP!BD65</f>
        <v>Arabia Saudita</v>
      </c>
      <c r="I169" s="9" t="str">
        <f ca="1">+WORLDCUP!BD69</f>
        <v>Panamá</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Túnez</v>
      </c>
      <c r="G170" s="9" t="str">
        <f ca="1">+WORLDCUP!BD58</f>
        <v>República Checa</v>
      </c>
      <c r="H170" s="9" t="str">
        <f ca="1">+WORLDCUP!BD64</f>
        <v>Egipto</v>
      </c>
      <c r="I170" s="9" t="str">
        <f ca="1">+WORLDCUP!BD69</f>
        <v>Panamá</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Egipto</v>
      </c>
      <c r="E171" s="9" t="str">
        <f ca="1">+WORLDCUP!BD67</f>
        <v>Argelia</v>
      </c>
      <c r="F171" s="9" t="str">
        <f ca="1">+WORLDCUP!BD63</f>
        <v>Túnez</v>
      </c>
      <c r="G171" s="9" t="str">
        <f ca="1">+WORLDCUP!BD58</f>
        <v>República Checa</v>
      </c>
      <c r="H171" s="9" t="str">
        <f ca="1">+WORLDCUP!BD65</f>
        <v>Arabia Saudita</v>
      </c>
      <c r="I171" s="9" t="str">
        <f ca="1">+WORLDCUP!BD69</f>
        <v>Panamá</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Egipto</v>
      </c>
      <c r="E172" s="9" t="str">
        <f ca="1">+WORLDCUP!BD66</f>
        <v>Senegal</v>
      </c>
      <c r="F172" s="9" t="str">
        <f ca="1">+WORLDCUP!BD63</f>
        <v>Túnez</v>
      </c>
      <c r="G172" s="9" t="str">
        <f ca="1">+WORLDCUP!BD58</f>
        <v>República Checa</v>
      </c>
      <c r="H172" s="9" t="str">
        <f ca="1">+WORLDCUP!BD65</f>
        <v>Arabia Saudita</v>
      </c>
      <c r="I172" s="9" t="str">
        <f ca="1">+WORLDCUP!BD69</f>
        <v>Panamá</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Egipto</v>
      </c>
      <c r="E173" s="9" t="str">
        <f ca="1">+WORLDCUP!BD67</f>
        <v>Argelia</v>
      </c>
      <c r="F173" s="9" t="str">
        <f ca="1">+WORLDCUP!BD63</f>
        <v>Túnez</v>
      </c>
      <c r="G173" s="9" t="str">
        <f ca="1">+WORLDCUP!BD58</f>
        <v>República Checa</v>
      </c>
      <c r="H173" s="9" t="str">
        <f ca="1">+WORLDCUP!BD65</f>
        <v>Arabia Saudita</v>
      </c>
      <c r="I173" s="9" t="str">
        <f ca="1">+WORLDCUP!BD69</f>
        <v>Panamá</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Egipto</v>
      </c>
      <c r="E174" s="9" t="str">
        <f ca="1">+WORLDCUP!BD67</f>
        <v>Argelia</v>
      </c>
      <c r="F174" s="9" t="str">
        <f ca="1">+WORLDCUP!BD63</f>
        <v>Túnez</v>
      </c>
      <c r="G174" s="9" t="str">
        <f ca="1">+WORLDCUP!BD58</f>
        <v>República Checa</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Estados Unidos</v>
      </c>
      <c r="G175" s="9" t="str">
        <f ca="1">+WORLDCUP!BD58</f>
        <v>República Checa</v>
      </c>
      <c r="H175" s="9" t="str">
        <f ca="1">+WORLDCUP!BD64</f>
        <v>Egipto</v>
      </c>
      <c r="I175" s="9" t="str">
        <f ca="1">+WORLDCUP!BD69</f>
        <v>Panamá</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Estados Unidos</v>
      </c>
      <c r="G176" s="9" t="str">
        <f ca="1">+WORLDCUP!BD58</f>
        <v>República Checa</v>
      </c>
      <c r="H176" s="9" t="str">
        <f ca="1">+WORLDCUP!BD63</f>
        <v>Túnez</v>
      </c>
      <c r="I176" s="9" t="str">
        <f ca="1">+WORLDCUP!BD69</f>
        <v>Panamá</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Egipto</v>
      </c>
      <c r="E177" s="9" t="str">
        <f ca="1">+WORLDCUP!BD67</f>
        <v>Argelia</v>
      </c>
      <c r="F177" s="9" t="str">
        <f ca="1">+WORLDCUP!BD61</f>
        <v>Estados Unidos</v>
      </c>
      <c r="G177" s="9" t="str">
        <f ca="1">+WORLDCUP!BD58</f>
        <v>República Checa</v>
      </c>
      <c r="H177" s="9" t="str">
        <f ca="1">+WORLDCUP!BD63</f>
        <v>Túnez</v>
      </c>
      <c r="I177" s="9" t="str">
        <f ca="1">+WORLDCUP!BD69</f>
        <v>Panamá</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Egipto</v>
      </c>
      <c r="E178" s="9" t="str">
        <f ca="1">+WORLDCUP!BD67</f>
        <v>Argelia</v>
      </c>
      <c r="F178" s="9" t="str">
        <f ca="1">+WORLDCUP!BD61</f>
        <v>Estados Unidos</v>
      </c>
      <c r="G178" s="9" t="str">
        <f ca="1">+WORLDCUP!BD58</f>
        <v>República Checa</v>
      </c>
      <c r="H178" s="9" t="str">
        <f ca="1">+WORLDCUP!BD63</f>
        <v>Túnez</v>
      </c>
      <c r="I178" s="9" t="str">
        <f ca="1">+WORLDCUP!BD69</f>
        <v>Panamá</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Egipto</v>
      </c>
      <c r="E179" s="9" t="str">
        <f ca="1">+WORLDCUP!BD66</f>
        <v>Senegal</v>
      </c>
      <c r="F179" s="9" t="str">
        <f ca="1">+WORLDCUP!BD61</f>
        <v>Estados Unidos</v>
      </c>
      <c r="G179" s="9" t="str">
        <f ca="1">+WORLDCUP!BD58</f>
        <v>República Checa</v>
      </c>
      <c r="H179" s="9" t="str">
        <f ca="1">+WORLDCUP!BD63</f>
        <v>Túnez</v>
      </c>
      <c r="I179" s="9" t="str">
        <f ca="1">+WORLDCUP!BD69</f>
        <v>Panamá</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Egipto</v>
      </c>
      <c r="E180" s="9" t="str">
        <f ca="1">+WORLDCUP!BD67</f>
        <v>Argelia</v>
      </c>
      <c r="F180" s="9" t="str">
        <f ca="1">+WORLDCUP!BD61</f>
        <v>Estados Unidos</v>
      </c>
      <c r="G180" s="9" t="str">
        <f ca="1">+WORLDCUP!BD58</f>
        <v>República Checa</v>
      </c>
      <c r="H180" s="9" t="str">
        <f ca="1">+WORLDCUP!BD63</f>
        <v>Túnez</v>
      </c>
      <c r="I180" s="9" t="str">
        <f ca="1">+WORLDCUP!BD69</f>
        <v>Panamá</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Egipto</v>
      </c>
      <c r="E181" s="9" t="str">
        <f ca="1">+WORLDCUP!BD67</f>
        <v>Argelia</v>
      </c>
      <c r="F181" s="9" t="str">
        <f ca="1">+WORLDCUP!BD61</f>
        <v>Estados Unidos</v>
      </c>
      <c r="G181" s="9" t="str">
        <f ca="1">+WORLDCUP!BD58</f>
        <v>República Checa</v>
      </c>
      <c r="H181" s="9" t="str">
        <f ca="1">+WORLDCUP!BD63</f>
        <v>Túnez</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Estados Unidos</v>
      </c>
      <c r="G182" s="9" t="str">
        <f ca="1">+WORLDCUP!BD58</f>
        <v>República Checa</v>
      </c>
      <c r="H182" s="9" t="str">
        <f ca="1">+WORLDCUP!BD65</f>
        <v>Arabia Saudita</v>
      </c>
      <c r="I182" s="9" t="str">
        <f ca="1">+WORLDCUP!BD69</f>
        <v>Panamá</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Estados Unidos</v>
      </c>
      <c r="G183" s="9" t="str">
        <f ca="1">+WORLDCUP!BD58</f>
        <v>República Checa</v>
      </c>
      <c r="H183" s="9" t="str">
        <f ca="1">+WORLDCUP!BD64</f>
        <v>Egipto</v>
      </c>
      <c r="I183" s="9" t="str">
        <f ca="1">+WORLDCUP!BD69</f>
        <v>Panamá</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Egipto</v>
      </c>
      <c r="E184" s="9" t="str">
        <f ca="1">+WORLDCUP!BD67</f>
        <v>Argelia</v>
      </c>
      <c r="F184" s="9" t="str">
        <f ca="1">+WORLDCUP!BD61</f>
        <v>Estados Unidos</v>
      </c>
      <c r="G184" s="9" t="str">
        <f ca="1">+WORLDCUP!BD58</f>
        <v>República Checa</v>
      </c>
      <c r="H184" s="9" t="str">
        <f ca="1">+WORLDCUP!BD65</f>
        <v>Arabia Saudita</v>
      </c>
      <c r="I184" s="9" t="str">
        <f ca="1">+WORLDCUP!BD69</f>
        <v>Panamá</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Egipto</v>
      </c>
      <c r="E185" s="9" t="str">
        <f ca="1">+WORLDCUP!BD66</f>
        <v>Senegal</v>
      </c>
      <c r="F185" s="9" t="str">
        <f ca="1">+WORLDCUP!BD61</f>
        <v>Estados Unidos</v>
      </c>
      <c r="G185" s="9" t="str">
        <f ca="1">+WORLDCUP!BD58</f>
        <v>República Checa</v>
      </c>
      <c r="H185" s="9" t="str">
        <f ca="1">+WORLDCUP!BD65</f>
        <v>Arabia Saudita</v>
      </c>
      <c r="I185" s="9" t="str">
        <f ca="1">+WORLDCUP!BD69</f>
        <v>Panamá</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Egipto</v>
      </c>
      <c r="E186" s="9" t="str">
        <f ca="1">+WORLDCUP!BD67</f>
        <v>Argelia</v>
      </c>
      <c r="F186" s="9" t="str">
        <f ca="1">+WORLDCUP!BD61</f>
        <v>Estados Unidos</v>
      </c>
      <c r="G186" s="9" t="str">
        <f ca="1">+WORLDCUP!BD58</f>
        <v>República Checa</v>
      </c>
      <c r="H186" s="9" t="str">
        <f ca="1">+WORLDCUP!BD65</f>
        <v>Arabia Saudita</v>
      </c>
      <c r="I186" s="9" t="str">
        <f ca="1">+WORLDCUP!BD69</f>
        <v>Panamá</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Egipto</v>
      </c>
      <c r="E187" s="9" t="str">
        <f ca="1">+WORLDCUP!BD67</f>
        <v>Argelia</v>
      </c>
      <c r="F187" s="9" t="str">
        <f ca="1">+WORLDCUP!BD61</f>
        <v>Estados Unidos</v>
      </c>
      <c r="G187" s="9" t="str">
        <f ca="1">+WORLDCUP!BD58</f>
        <v>República Checa</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Estados Unidos</v>
      </c>
      <c r="G188" s="9" t="str">
        <f ca="1">+WORLDCUP!BD58</f>
        <v>República Checa</v>
      </c>
      <c r="H188" s="9" t="str">
        <f ca="1">+WORLDCUP!BD63</f>
        <v>Túnez</v>
      </c>
      <c r="I188" s="9" t="str">
        <f ca="1">+WORLDCUP!BD69</f>
        <v>Panamá</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Estados Unidos</v>
      </c>
      <c r="G189" s="9" t="str">
        <f ca="1">+WORLDCUP!BD58</f>
        <v>República Checa</v>
      </c>
      <c r="H189" s="9" t="str">
        <f ca="1">+WORLDCUP!BD63</f>
        <v>Túnez</v>
      </c>
      <c r="I189" s="9" t="str">
        <f ca="1">+WORLDCUP!BD69</f>
        <v>Panamá</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República Checa</v>
      </c>
      <c r="H190" s="9" t="str">
        <f ca="1">+WORLDCUP!BD63</f>
        <v>Túnez</v>
      </c>
      <c r="I190" s="9" t="str">
        <f ca="1">+WORLDCUP!BD69</f>
        <v>Panamá</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Estados Unidos</v>
      </c>
      <c r="G191" s="9" t="str">
        <f ca="1">+WORLDCUP!BD58</f>
        <v>República Checa</v>
      </c>
      <c r="H191" s="9" t="str">
        <f ca="1">+WORLDCUP!BD63</f>
        <v>Túnez</v>
      </c>
      <c r="I191" s="9" t="str">
        <f ca="1">+WORLDCUP!BD69</f>
        <v>Panamá</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Estados Unidos</v>
      </c>
      <c r="G192" s="9" t="str">
        <f ca="1">+WORLDCUP!BD58</f>
        <v>República Checa</v>
      </c>
      <c r="H192" s="9" t="str">
        <f ca="1">+WORLDCUP!BD63</f>
        <v>Túnez</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Egipto</v>
      </c>
      <c r="E193" s="9" t="str">
        <f ca="1">+WORLDCUP!BD67</f>
        <v>Argelia</v>
      </c>
      <c r="F193" s="9" t="str">
        <f ca="1">+WORLDCUP!BD61</f>
        <v>Estados Unidos</v>
      </c>
      <c r="G193" s="9" t="str">
        <f ca="1">+WORLDCUP!BD58</f>
        <v>República Checa</v>
      </c>
      <c r="H193" s="9" t="str">
        <f ca="1">+WORLDCUP!BD63</f>
        <v>Túnez</v>
      </c>
      <c r="I193" s="9" t="str">
        <f ca="1">+WORLDCUP!BD69</f>
        <v>Panamá</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Egipto</v>
      </c>
      <c r="E194" s="9" t="str">
        <f ca="1">+WORLDCUP!BD66</f>
        <v>Senegal</v>
      </c>
      <c r="F194" s="9" t="str">
        <f ca="1">+WORLDCUP!BD61</f>
        <v>Estados Unidos</v>
      </c>
      <c r="G194" s="9" t="str">
        <f ca="1">+WORLDCUP!BD58</f>
        <v>República Checa</v>
      </c>
      <c r="H194" s="9" t="str">
        <f ca="1">+WORLDCUP!BD63</f>
        <v>Túnez</v>
      </c>
      <c r="I194" s="9" t="str">
        <f ca="1">+WORLDCUP!BD69</f>
        <v>Panamá</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Egipto</v>
      </c>
      <c r="E195" s="9" t="str">
        <f ca="1">+WORLDCUP!BD67</f>
        <v>Argelia</v>
      </c>
      <c r="F195" s="9" t="str">
        <f ca="1">+WORLDCUP!BD61</f>
        <v>Estados Unidos</v>
      </c>
      <c r="G195" s="9" t="str">
        <f ca="1">+WORLDCUP!BD58</f>
        <v>República Checa</v>
      </c>
      <c r="H195" s="9" t="str">
        <f ca="1">+WORLDCUP!BD63</f>
        <v>Túnez</v>
      </c>
      <c r="I195" s="9" t="str">
        <f ca="1">+WORLDCUP!BD69</f>
        <v>Panamá</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Egipto</v>
      </c>
      <c r="E196" s="9" t="str">
        <f ca="1">+WORLDCUP!BD67</f>
        <v>Argelia</v>
      </c>
      <c r="F196" s="9" t="str">
        <f ca="1">+WORLDCUP!BD61</f>
        <v>Estados Unidos</v>
      </c>
      <c r="G196" s="9" t="str">
        <f ca="1">+WORLDCUP!BD58</f>
        <v>República Checa</v>
      </c>
      <c r="H196" s="9" t="str">
        <f ca="1">+WORLDCUP!BD63</f>
        <v>Túnez</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Egipto</v>
      </c>
      <c r="E197" s="9" t="str">
        <f ca="1">+WORLDCUP!BD62</f>
        <v>Costa de Marfil</v>
      </c>
      <c r="F197" s="9" t="str">
        <f ca="1">+WORLDCUP!BD61</f>
        <v>Estados Unidos</v>
      </c>
      <c r="G197" s="9" t="str">
        <f ca="1">+WORLDCUP!BD58</f>
        <v>República Checa</v>
      </c>
      <c r="H197" s="9" t="str">
        <f ca="1">+WORLDCUP!BD63</f>
        <v>Túnez</v>
      </c>
      <c r="I197" s="9" t="str">
        <f ca="1">+WORLDCUP!BD69</f>
        <v>Panamá</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Egipto</v>
      </c>
      <c r="E198" s="9" t="str">
        <f ca="1">+WORLDCUP!BD67</f>
        <v>Argelia</v>
      </c>
      <c r="F198" s="9" t="str">
        <f ca="1">+WORLDCUP!BD61</f>
        <v>Estados Unidos</v>
      </c>
      <c r="G198" s="9" t="str">
        <f ca="1">+WORLDCUP!BD58</f>
        <v>República Checa</v>
      </c>
      <c r="H198" s="9" t="str">
        <f ca="1">+WORLDCUP!BD63</f>
        <v>Túnez</v>
      </c>
      <c r="I198" s="9" t="str">
        <f ca="1">+WORLDCUP!BD69</f>
        <v>Panamá</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Egipto</v>
      </c>
      <c r="E199" s="9" t="str">
        <f ca="1">+WORLDCUP!BD67</f>
        <v>Argelia</v>
      </c>
      <c r="F199" s="9" t="str">
        <f ca="1">+WORLDCUP!BD61</f>
        <v>Estados Unidos</v>
      </c>
      <c r="G199" s="9" t="str">
        <f ca="1">+WORLDCUP!BD58</f>
        <v>República Checa</v>
      </c>
      <c r="H199" s="9" t="str">
        <f ca="1">+WORLDCUP!BD63</f>
        <v>Túnez</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Egipto</v>
      </c>
      <c r="E200" s="9" t="str">
        <f ca="1">+WORLDCUP!BD62</f>
        <v>Costa de Marfil</v>
      </c>
      <c r="F200" s="9" t="str">
        <f ca="1">+WORLDCUP!BD61</f>
        <v>Estados Unidos</v>
      </c>
      <c r="G200" s="9" t="str">
        <f ca="1">+WORLDCUP!BD58</f>
        <v>República Checa</v>
      </c>
      <c r="H200" s="9" t="str">
        <f ca="1">+WORLDCUP!BD63</f>
        <v>Túnez</v>
      </c>
      <c r="I200" s="9" t="str">
        <f ca="1">+WORLDCUP!BD69</f>
        <v>Panamá</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Egipto</v>
      </c>
      <c r="E201" s="9" t="str">
        <f ca="1">+WORLDCUP!BD62</f>
        <v>Costa de Marfil</v>
      </c>
      <c r="F201" s="9" t="str">
        <f ca="1">+WORLDCUP!BD61</f>
        <v>Estados Unidos</v>
      </c>
      <c r="G201" s="9" t="str">
        <f ca="1">+WORLDCUP!BD58</f>
        <v>República Checa</v>
      </c>
      <c r="H201" s="9" t="str">
        <f ca="1">+WORLDCUP!BD63</f>
        <v>Túnez</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Egipto</v>
      </c>
      <c r="E202" s="9" t="str">
        <f ca="1">+WORLDCUP!BD67</f>
        <v>Argelia</v>
      </c>
      <c r="F202" s="9" t="str">
        <f ca="1">+WORLDCUP!BD61</f>
        <v>Estados Unidos</v>
      </c>
      <c r="G202" s="9" t="str">
        <f ca="1">+WORLDCUP!BD58</f>
        <v>República Checa</v>
      </c>
      <c r="H202" s="9" t="str">
        <f ca="1">+WORLDCUP!BD63</f>
        <v>Túnez</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Haití</v>
      </c>
      <c r="G203" s="9" t="str">
        <f ca="1">+WORLDCUP!BD58</f>
        <v>República Checa</v>
      </c>
      <c r="H203" s="9" t="str">
        <f ca="1">+WORLDCUP!BD64</f>
        <v>Egipto</v>
      </c>
      <c r="I203" s="9" t="str">
        <f ca="1">+WORLDCUP!BD69</f>
        <v>Panamá</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Haití</v>
      </c>
      <c r="G204" s="9" t="str">
        <f ca="1">+WORLDCUP!BD58</f>
        <v>República Checa</v>
      </c>
      <c r="H204" s="9" t="str">
        <f ca="1">+WORLDCUP!BD63</f>
        <v>Túnez</v>
      </c>
      <c r="I204" s="9" t="str">
        <f ca="1">+WORLDCUP!BD69</f>
        <v>Panamá</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Egipto</v>
      </c>
      <c r="E205" s="9" t="str">
        <f ca="1">+WORLDCUP!BD67</f>
        <v>Argelia</v>
      </c>
      <c r="F205" s="9" t="str">
        <f ca="1">+WORLDCUP!BD60</f>
        <v>Haití</v>
      </c>
      <c r="G205" s="9" t="str">
        <f ca="1">+WORLDCUP!BD58</f>
        <v>República Checa</v>
      </c>
      <c r="H205" s="9" t="str">
        <f ca="1">+WORLDCUP!BD63</f>
        <v>Túnez</v>
      </c>
      <c r="I205" s="9" t="str">
        <f ca="1">+WORLDCUP!BD69</f>
        <v>Panamá</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Egipto</v>
      </c>
      <c r="E206" s="9" t="str">
        <f ca="1">+WORLDCUP!BD67</f>
        <v>Argelia</v>
      </c>
      <c r="F206" s="9" t="str">
        <f ca="1">+WORLDCUP!BD60</f>
        <v>Haití</v>
      </c>
      <c r="G206" s="9" t="str">
        <f ca="1">+WORLDCUP!BD58</f>
        <v>República Checa</v>
      </c>
      <c r="H206" s="9" t="str">
        <f ca="1">+WORLDCUP!BD63</f>
        <v>Túnez</v>
      </c>
      <c r="I206" s="9" t="str">
        <f ca="1">+WORLDCUP!BD69</f>
        <v>Panamá</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Egipto</v>
      </c>
      <c r="E207" s="9" t="str">
        <f ca="1">+WORLDCUP!BD66</f>
        <v>Senegal</v>
      </c>
      <c r="F207" s="9" t="str">
        <f ca="1">+WORLDCUP!BD60</f>
        <v>Haití</v>
      </c>
      <c r="G207" s="9" t="str">
        <f ca="1">+WORLDCUP!BD58</f>
        <v>República Checa</v>
      </c>
      <c r="H207" s="9" t="str">
        <f ca="1">+WORLDCUP!BD63</f>
        <v>Túnez</v>
      </c>
      <c r="I207" s="9" t="str">
        <f ca="1">+WORLDCUP!BD69</f>
        <v>Panamá</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Egipto</v>
      </c>
      <c r="E208" s="9" t="str">
        <f ca="1">+WORLDCUP!BD67</f>
        <v>Argelia</v>
      </c>
      <c r="F208" s="9" t="str">
        <f ca="1">+WORLDCUP!BD60</f>
        <v>Haití</v>
      </c>
      <c r="G208" s="9" t="str">
        <f ca="1">+WORLDCUP!BD58</f>
        <v>República Checa</v>
      </c>
      <c r="H208" s="9" t="str">
        <f ca="1">+WORLDCUP!BD63</f>
        <v>Túnez</v>
      </c>
      <c r="I208" s="9" t="str">
        <f ca="1">+WORLDCUP!BD69</f>
        <v>Panamá</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Egipto</v>
      </c>
      <c r="E209" s="9" t="str">
        <f ca="1">+WORLDCUP!BD67</f>
        <v>Argelia</v>
      </c>
      <c r="F209" s="9" t="str">
        <f ca="1">+WORLDCUP!BD60</f>
        <v>Haití</v>
      </c>
      <c r="G209" s="9" t="str">
        <f ca="1">+WORLDCUP!BD58</f>
        <v>República Checa</v>
      </c>
      <c r="H209" s="9" t="str">
        <f ca="1">+WORLDCUP!BD63</f>
        <v>Túnez</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Haití</v>
      </c>
      <c r="G210" s="9" t="str">
        <f ca="1">+WORLDCUP!BD58</f>
        <v>República Checa</v>
      </c>
      <c r="H210" s="9" t="str">
        <f ca="1">+WORLDCUP!BD65</f>
        <v>Arabia Saudita</v>
      </c>
      <c r="I210" s="9" t="str">
        <f ca="1">+WORLDCUP!BD69</f>
        <v>Panamá</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Haití</v>
      </c>
      <c r="G211" s="9" t="str">
        <f ca="1">+WORLDCUP!BD58</f>
        <v>República Checa</v>
      </c>
      <c r="H211" s="9" t="str">
        <f ca="1">+WORLDCUP!BD64</f>
        <v>Egipto</v>
      </c>
      <c r="I211" s="9" t="str">
        <f ca="1">+WORLDCUP!BD69</f>
        <v>Panamá</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Egipto</v>
      </c>
      <c r="E212" s="9" t="str">
        <f ca="1">+WORLDCUP!BD67</f>
        <v>Argelia</v>
      </c>
      <c r="F212" s="9" t="str">
        <f ca="1">+WORLDCUP!BD60</f>
        <v>Haití</v>
      </c>
      <c r="G212" s="9" t="str">
        <f ca="1">+WORLDCUP!BD58</f>
        <v>República Checa</v>
      </c>
      <c r="H212" s="9" t="str">
        <f ca="1">+WORLDCUP!BD65</f>
        <v>Arabia Saudita</v>
      </c>
      <c r="I212" s="9" t="str">
        <f ca="1">+WORLDCUP!BD69</f>
        <v>Panamá</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Egipto</v>
      </c>
      <c r="E213" s="9" t="str">
        <f ca="1">+WORLDCUP!BD66</f>
        <v>Senegal</v>
      </c>
      <c r="F213" s="9" t="str">
        <f ca="1">+WORLDCUP!BD60</f>
        <v>Haití</v>
      </c>
      <c r="G213" s="9" t="str">
        <f ca="1">+WORLDCUP!BD58</f>
        <v>República Checa</v>
      </c>
      <c r="H213" s="9" t="str">
        <f ca="1">+WORLDCUP!BD65</f>
        <v>Arabia Saudita</v>
      </c>
      <c r="I213" s="9" t="str">
        <f ca="1">+WORLDCUP!BD69</f>
        <v>Panamá</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Egipto</v>
      </c>
      <c r="E214" s="9" t="str">
        <f ca="1">+WORLDCUP!BD67</f>
        <v>Argelia</v>
      </c>
      <c r="F214" s="9" t="str">
        <f ca="1">+WORLDCUP!BD60</f>
        <v>Haití</v>
      </c>
      <c r="G214" s="9" t="str">
        <f ca="1">+WORLDCUP!BD58</f>
        <v>República Checa</v>
      </c>
      <c r="H214" s="9" t="str">
        <f ca="1">+WORLDCUP!BD65</f>
        <v>Arabia Saudita</v>
      </c>
      <c r="I214" s="9" t="str">
        <f ca="1">+WORLDCUP!BD69</f>
        <v>Panamá</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Egipto</v>
      </c>
      <c r="E215" s="9" t="str">
        <f ca="1">+WORLDCUP!BD67</f>
        <v>Argelia</v>
      </c>
      <c r="F215" s="9" t="str">
        <f ca="1">+WORLDCUP!BD60</f>
        <v>Haití</v>
      </c>
      <c r="G215" s="9" t="str">
        <f ca="1">+WORLDCUP!BD58</f>
        <v>República Checa</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Haití</v>
      </c>
      <c r="G216" s="9" t="str">
        <f ca="1">+WORLDCUP!BD58</f>
        <v>República Checa</v>
      </c>
      <c r="H216" s="9" t="str">
        <f ca="1">+WORLDCUP!BD63</f>
        <v>Túnez</v>
      </c>
      <c r="I216" s="9" t="str">
        <f ca="1">+WORLDCUP!BD69</f>
        <v>Panamá</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Haití</v>
      </c>
      <c r="G217" s="9" t="str">
        <f ca="1">+WORLDCUP!BD58</f>
        <v>República Checa</v>
      </c>
      <c r="H217" s="9" t="str">
        <f ca="1">+WORLDCUP!BD63</f>
        <v>Túnez</v>
      </c>
      <c r="I217" s="9" t="str">
        <f ca="1">+WORLDCUP!BD69</f>
        <v>Panamá</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Haití</v>
      </c>
      <c r="G218" s="9" t="str">
        <f ca="1">+WORLDCUP!BD58</f>
        <v>República Checa</v>
      </c>
      <c r="H218" s="9" t="str">
        <f ca="1">+WORLDCUP!BD63</f>
        <v>Túnez</v>
      </c>
      <c r="I218" s="9" t="str">
        <f ca="1">+WORLDCUP!BD69</f>
        <v>Panamá</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Haití</v>
      </c>
      <c r="G219" s="9" t="str">
        <f ca="1">+WORLDCUP!BD58</f>
        <v>República Checa</v>
      </c>
      <c r="H219" s="9" t="str">
        <f ca="1">+WORLDCUP!BD63</f>
        <v>Túnez</v>
      </c>
      <c r="I219" s="9" t="str">
        <f ca="1">+WORLDCUP!BD69</f>
        <v>Panamá</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Haití</v>
      </c>
      <c r="G220" s="9" t="str">
        <f ca="1">+WORLDCUP!BD58</f>
        <v>República Checa</v>
      </c>
      <c r="H220" s="9" t="str">
        <f ca="1">+WORLDCUP!BD63</f>
        <v>Túnez</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Egipto</v>
      </c>
      <c r="E221" s="9" t="str">
        <f ca="1">+WORLDCUP!BD67</f>
        <v>Argelia</v>
      </c>
      <c r="F221" s="9" t="str">
        <f ca="1">+WORLDCUP!BD60</f>
        <v>Haití</v>
      </c>
      <c r="G221" s="9" t="str">
        <f ca="1">+WORLDCUP!BD58</f>
        <v>República Checa</v>
      </c>
      <c r="H221" s="9" t="str">
        <f ca="1">+WORLDCUP!BD63</f>
        <v>Túnez</v>
      </c>
      <c r="I221" s="9" t="str">
        <f ca="1">+WORLDCUP!BD69</f>
        <v>Panamá</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Egipto</v>
      </c>
      <c r="E222" s="9" t="str">
        <f ca="1">+WORLDCUP!BD66</f>
        <v>Senegal</v>
      </c>
      <c r="F222" s="9" t="str">
        <f ca="1">+WORLDCUP!BD60</f>
        <v>Haití</v>
      </c>
      <c r="G222" s="9" t="str">
        <f ca="1">+WORLDCUP!BD58</f>
        <v>República Checa</v>
      </c>
      <c r="H222" s="9" t="str">
        <f ca="1">+WORLDCUP!BD63</f>
        <v>Túnez</v>
      </c>
      <c r="I222" s="9" t="str">
        <f ca="1">+WORLDCUP!BD69</f>
        <v>Panamá</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Egipto</v>
      </c>
      <c r="E223" s="9" t="str">
        <f ca="1">+WORLDCUP!BD67</f>
        <v>Argelia</v>
      </c>
      <c r="F223" s="9" t="str">
        <f ca="1">+WORLDCUP!BD60</f>
        <v>Haití</v>
      </c>
      <c r="G223" s="9" t="str">
        <f ca="1">+WORLDCUP!BD58</f>
        <v>República Checa</v>
      </c>
      <c r="H223" s="9" t="str">
        <f ca="1">+WORLDCUP!BD63</f>
        <v>Túnez</v>
      </c>
      <c r="I223" s="9" t="str">
        <f ca="1">+WORLDCUP!BD69</f>
        <v>Panamá</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Egipto</v>
      </c>
      <c r="E224" s="9" t="str">
        <f ca="1">+WORLDCUP!BD67</f>
        <v>Argelia</v>
      </c>
      <c r="F224" s="9" t="str">
        <f ca="1">+WORLDCUP!BD60</f>
        <v>Haití</v>
      </c>
      <c r="G224" s="9" t="str">
        <f ca="1">+WORLDCUP!BD58</f>
        <v>República Checa</v>
      </c>
      <c r="H224" s="9" t="str">
        <f ca="1">+WORLDCUP!BD63</f>
        <v>Túnez</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Egipto</v>
      </c>
      <c r="E225" s="9" t="str">
        <f ca="1">+WORLDCUP!BD62</f>
        <v>Costa de Marfil</v>
      </c>
      <c r="F225" s="9" t="str">
        <f ca="1">+WORLDCUP!BD60</f>
        <v>Haití</v>
      </c>
      <c r="G225" s="9" t="str">
        <f ca="1">+WORLDCUP!BD58</f>
        <v>República Checa</v>
      </c>
      <c r="H225" s="9" t="str">
        <f ca="1">+WORLDCUP!BD63</f>
        <v>Túnez</v>
      </c>
      <c r="I225" s="9" t="str">
        <f ca="1">+WORLDCUP!BD69</f>
        <v>Panamá</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Egipto</v>
      </c>
      <c r="E226" s="9" t="str">
        <f ca="1">+WORLDCUP!BD67</f>
        <v>Argelia</v>
      </c>
      <c r="F226" s="9" t="str">
        <f ca="1">+WORLDCUP!BD60</f>
        <v>Haití</v>
      </c>
      <c r="G226" s="9" t="str">
        <f ca="1">+WORLDCUP!BD58</f>
        <v>República Checa</v>
      </c>
      <c r="H226" s="9" t="str">
        <f ca="1">+WORLDCUP!BD63</f>
        <v>Túnez</v>
      </c>
      <c r="I226" s="9" t="str">
        <f ca="1">+WORLDCUP!BD69</f>
        <v>Panamá</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Egipto</v>
      </c>
      <c r="E227" s="9" t="str">
        <f ca="1">+WORLDCUP!BD67</f>
        <v>Argelia</v>
      </c>
      <c r="F227" s="9" t="str">
        <f ca="1">+WORLDCUP!BD60</f>
        <v>Haití</v>
      </c>
      <c r="G227" s="9" t="str">
        <f ca="1">+WORLDCUP!BD58</f>
        <v>República Checa</v>
      </c>
      <c r="H227" s="9" t="str">
        <f ca="1">+WORLDCUP!BD63</f>
        <v>Túnez</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Egipto</v>
      </c>
      <c r="E228" s="9" t="str">
        <f ca="1">+WORLDCUP!BD62</f>
        <v>Costa de Marfil</v>
      </c>
      <c r="F228" s="9" t="str">
        <f ca="1">+WORLDCUP!BD60</f>
        <v>Haití</v>
      </c>
      <c r="G228" s="9" t="str">
        <f ca="1">+WORLDCUP!BD58</f>
        <v>República Checa</v>
      </c>
      <c r="H228" s="9" t="str">
        <f ca="1">+WORLDCUP!BD63</f>
        <v>Túnez</v>
      </c>
      <c r="I228" s="9" t="str">
        <f ca="1">+WORLDCUP!BD69</f>
        <v>Panamá</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Egipto</v>
      </c>
      <c r="E229" s="9" t="str">
        <f ca="1">+WORLDCUP!BD62</f>
        <v>Costa de Marfil</v>
      </c>
      <c r="F229" s="9" t="str">
        <f ca="1">+WORLDCUP!BD60</f>
        <v>Haití</v>
      </c>
      <c r="G229" s="9" t="str">
        <f ca="1">+WORLDCUP!BD58</f>
        <v>República Checa</v>
      </c>
      <c r="H229" s="9" t="str">
        <f ca="1">+WORLDCUP!BD63</f>
        <v>Túnez</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Egipto</v>
      </c>
      <c r="E230" s="9" t="str">
        <f ca="1">+WORLDCUP!BD67</f>
        <v>Argelia</v>
      </c>
      <c r="F230" s="9" t="str">
        <f ca="1">+WORLDCUP!BD60</f>
        <v>Haití</v>
      </c>
      <c r="G230" s="9" t="str">
        <f ca="1">+WORLDCUP!BD58</f>
        <v>República Checa</v>
      </c>
      <c r="H230" s="9" t="str">
        <f ca="1">+WORLDCUP!BD63</f>
        <v>Túnez</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Haití</v>
      </c>
      <c r="G231" s="9" t="str">
        <f ca="1">+WORLDCUP!BD58</f>
        <v>República Checa</v>
      </c>
      <c r="H231" s="9" t="str">
        <f ca="1">+WORLDCUP!BD61</f>
        <v>Estados Unidos</v>
      </c>
      <c r="I231" s="9" t="str">
        <f ca="1">+WORLDCUP!BD69</f>
        <v>Panamá</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Egipto</v>
      </c>
      <c r="E232" s="9" t="str">
        <f ca="1">+WORLDCUP!BD67</f>
        <v>Argelia</v>
      </c>
      <c r="F232" s="9" t="str">
        <f ca="1">+WORLDCUP!BD60</f>
        <v>Haití</v>
      </c>
      <c r="G232" s="9" t="str">
        <f ca="1">+WORLDCUP!BD58</f>
        <v>República Checa</v>
      </c>
      <c r="H232" s="9" t="str">
        <f ca="1">+WORLDCUP!BD61</f>
        <v>Estados Unidos</v>
      </c>
      <c r="I232" s="9" t="str">
        <f ca="1">+WORLDCUP!BD69</f>
        <v>Panamá</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Egipto</v>
      </c>
      <c r="E233" s="9" t="str">
        <f ca="1">+WORLDCUP!BD67</f>
        <v>Argelia</v>
      </c>
      <c r="F233" s="9" t="str">
        <f ca="1">+WORLDCUP!BD60</f>
        <v>Haití</v>
      </c>
      <c r="G233" s="9" t="str">
        <f ca="1">+WORLDCUP!BD58</f>
        <v>República Checa</v>
      </c>
      <c r="H233" s="9" t="str">
        <f ca="1">+WORLDCUP!BD61</f>
        <v>Estados Unidos</v>
      </c>
      <c r="I233" s="9" t="str">
        <f ca="1">+WORLDCUP!BD69</f>
        <v>Panamá</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Egipto</v>
      </c>
      <c r="E234" s="9" t="str">
        <f ca="1">+WORLDCUP!BD66</f>
        <v>Senegal</v>
      </c>
      <c r="F234" s="9" t="str">
        <f ca="1">+WORLDCUP!BD60</f>
        <v>Haití</v>
      </c>
      <c r="G234" s="9" t="str">
        <f ca="1">+WORLDCUP!BD58</f>
        <v>República Checa</v>
      </c>
      <c r="H234" s="9" t="str">
        <f ca="1">+WORLDCUP!BD61</f>
        <v>Estados Unidos</v>
      </c>
      <c r="I234" s="9" t="str">
        <f ca="1">+WORLDCUP!BD69</f>
        <v>Panamá</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Egipto</v>
      </c>
      <c r="E235" s="9" t="str">
        <f ca="1">+WORLDCUP!BD67</f>
        <v>Argelia</v>
      </c>
      <c r="F235" s="9" t="str">
        <f ca="1">+WORLDCUP!BD60</f>
        <v>Haití</v>
      </c>
      <c r="G235" s="9" t="str">
        <f ca="1">+WORLDCUP!BD58</f>
        <v>República Checa</v>
      </c>
      <c r="H235" s="9" t="str">
        <f ca="1">+WORLDCUP!BD61</f>
        <v>Estados Unidos</v>
      </c>
      <c r="I235" s="9" t="str">
        <f ca="1">+WORLDCUP!BD69</f>
        <v>Panamá</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Egipto</v>
      </c>
      <c r="E236" s="9" t="str">
        <f ca="1">+WORLDCUP!BD67</f>
        <v>Argelia</v>
      </c>
      <c r="F236" s="9" t="str">
        <f ca="1">+WORLDCUP!BD60</f>
        <v>Haití</v>
      </c>
      <c r="G236" s="9" t="str">
        <f ca="1">+WORLDCUP!BD58</f>
        <v>República Checa</v>
      </c>
      <c r="H236" s="9" t="str">
        <f ca="1">+WORLDCUP!BD61</f>
        <v>Estados Unidos</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Haití</v>
      </c>
      <c r="D237" s="9" t="str">
        <f ca="1">+WORLDCUP!BD67</f>
        <v>Argelia</v>
      </c>
      <c r="E237" s="9" t="str">
        <f ca="1">+WORLDCUP!BD66</f>
        <v>Senegal</v>
      </c>
      <c r="F237" s="9" t="str">
        <f ca="1">+WORLDCUP!BD61</f>
        <v>Estados Unidos</v>
      </c>
      <c r="G237" s="9" t="str">
        <f ca="1">+WORLDCUP!BD58</f>
        <v>República Checa</v>
      </c>
      <c r="H237" s="9" t="str">
        <f ca="1">+WORLDCUP!BD63</f>
        <v>Túnez</v>
      </c>
      <c r="I237" s="9" t="str">
        <f ca="1">+WORLDCUP!BD69</f>
        <v>Panamá</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Túnez</v>
      </c>
      <c r="F238" s="9" t="str">
        <f ca="1">+WORLDCUP!BD60</f>
        <v>Haití</v>
      </c>
      <c r="G238" s="9" t="str">
        <f ca="1">+WORLDCUP!BD58</f>
        <v>República Checa</v>
      </c>
      <c r="H238" s="9" t="str">
        <f ca="1">+WORLDCUP!BD61</f>
        <v>Estados Unidos</v>
      </c>
      <c r="I238" s="9" t="str">
        <f ca="1">+WORLDCUP!BD69</f>
        <v>Panamá</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Túnez</v>
      </c>
      <c r="E239" s="9" t="str">
        <f ca="1">+WORLDCUP!BD66</f>
        <v>Senegal</v>
      </c>
      <c r="F239" s="9" t="str">
        <f ca="1">+WORLDCUP!BD60</f>
        <v>Haití</v>
      </c>
      <c r="G239" s="9" t="str">
        <f ca="1">+WORLDCUP!BD58</f>
        <v>República Checa</v>
      </c>
      <c r="H239" s="9" t="str">
        <f ca="1">+WORLDCUP!BD61</f>
        <v>Estados Unidos</v>
      </c>
      <c r="I239" s="9" t="str">
        <f ca="1">+WORLDCUP!BD69</f>
        <v>Panamá</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Túnez</v>
      </c>
      <c r="F240" s="9" t="str">
        <f ca="1">+WORLDCUP!BD60</f>
        <v>Haití</v>
      </c>
      <c r="G240" s="9" t="str">
        <f ca="1">+WORLDCUP!BD58</f>
        <v>República Checa</v>
      </c>
      <c r="H240" s="9" t="str">
        <f ca="1">+WORLDCUP!BD61</f>
        <v>Estados Unidos</v>
      </c>
      <c r="I240" s="9" t="str">
        <f ca="1">+WORLDCUP!BD69</f>
        <v>Panamá</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Túnez</v>
      </c>
      <c r="F241" s="9" t="str">
        <f ca="1">+WORLDCUP!BD60</f>
        <v>Haití</v>
      </c>
      <c r="G241" s="9" t="str">
        <f ca="1">+WORLDCUP!BD58</f>
        <v>República Checa</v>
      </c>
      <c r="H241" s="9" t="str">
        <f ca="1">+WORLDCUP!BD61</f>
        <v>Estados Unidos</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Haití</v>
      </c>
      <c r="D242" s="9" t="str">
        <f ca="1">+WORLDCUP!BD64</f>
        <v>Egipto</v>
      </c>
      <c r="E242" s="9" t="str">
        <f ca="1">+WORLDCUP!BD67</f>
        <v>Argelia</v>
      </c>
      <c r="F242" s="9" t="str">
        <f ca="1">+WORLDCUP!BD61</f>
        <v>Estados Unidos</v>
      </c>
      <c r="G242" s="9" t="str">
        <f ca="1">+WORLDCUP!BD58</f>
        <v>República Checa</v>
      </c>
      <c r="H242" s="9" t="str">
        <f ca="1">+WORLDCUP!BD63</f>
        <v>Túnez</v>
      </c>
      <c r="I242" s="9" t="str">
        <f ca="1">+WORLDCUP!BD69</f>
        <v>Panamá</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Haití</v>
      </c>
      <c r="D243" s="9" t="str">
        <f ca="1">+WORLDCUP!BD64</f>
        <v>Egipto</v>
      </c>
      <c r="E243" s="9" t="str">
        <f ca="1">+WORLDCUP!BD66</f>
        <v>Senegal</v>
      </c>
      <c r="F243" s="9" t="str">
        <f ca="1">+WORLDCUP!BD61</f>
        <v>Estados Unidos</v>
      </c>
      <c r="G243" s="9" t="str">
        <f ca="1">+WORLDCUP!BD58</f>
        <v>República Checa</v>
      </c>
      <c r="H243" s="9" t="str">
        <f ca="1">+WORLDCUP!BD63</f>
        <v>Túnez</v>
      </c>
      <c r="I243" s="9" t="str">
        <f ca="1">+WORLDCUP!BD69</f>
        <v>Panamá</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Haití</v>
      </c>
      <c r="D244" s="9" t="str">
        <f ca="1">+WORLDCUP!BD64</f>
        <v>Egipto</v>
      </c>
      <c r="E244" s="9" t="str">
        <f ca="1">+WORLDCUP!BD67</f>
        <v>Argelia</v>
      </c>
      <c r="F244" s="9" t="str">
        <f ca="1">+WORLDCUP!BD61</f>
        <v>Estados Unidos</v>
      </c>
      <c r="G244" s="9" t="str">
        <f ca="1">+WORLDCUP!BD58</f>
        <v>República Checa</v>
      </c>
      <c r="H244" s="9" t="str">
        <f ca="1">+WORLDCUP!BD63</f>
        <v>Túnez</v>
      </c>
      <c r="I244" s="9" t="str">
        <f ca="1">+WORLDCUP!BD69</f>
        <v>Panamá</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Haití</v>
      </c>
      <c r="D245" s="9" t="str">
        <f ca="1">+WORLDCUP!BD64</f>
        <v>Egipto</v>
      </c>
      <c r="E245" s="9" t="str">
        <f ca="1">+WORLDCUP!BD67</f>
        <v>Argelia</v>
      </c>
      <c r="F245" s="9" t="str">
        <f ca="1">+WORLDCUP!BD61</f>
        <v>Estados Unidos</v>
      </c>
      <c r="G245" s="9" t="str">
        <f ca="1">+WORLDCUP!BD58</f>
        <v>República Checa</v>
      </c>
      <c r="H245" s="9" t="str">
        <f ca="1">+WORLDCUP!BD63</f>
        <v>Túnez</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Egipto</v>
      </c>
      <c r="E246" s="9" t="str">
        <f ca="1">+WORLDCUP!BD63</f>
        <v>Túnez</v>
      </c>
      <c r="F246" s="9" t="str">
        <f ca="1">+WORLDCUP!BD60</f>
        <v>Haití</v>
      </c>
      <c r="G246" s="9" t="str">
        <f ca="1">+WORLDCUP!BD58</f>
        <v>República Checa</v>
      </c>
      <c r="H246" s="9" t="str">
        <f ca="1">+WORLDCUP!BD61</f>
        <v>Estados Unidos</v>
      </c>
      <c r="I246" s="9" t="str">
        <f ca="1">+WORLDCUP!BD69</f>
        <v>Panamá</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Haití</v>
      </c>
      <c r="D247" s="9" t="str">
        <f ca="1">+WORLDCUP!BD64</f>
        <v>Egipto</v>
      </c>
      <c r="E247" s="9" t="str">
        <f ca="1">+WORLDCUP!BD67</f>
        <v>Argelia</v>
      </c>
      <c r="F247" s="9" t="str">
        <f ca="1">+WORLDCUP!BD61</f>
        <v>Estados Unidos</v>
      </c>
      <c r="G247" s="9" t="str">
        <f ca="1">+WORLDCUP!BD58</f>
        <v>República Checa</v>
      </c>
      <c r="H247" s="9" t="str">
        <f ca="1">+WORLDCUP!BD63</f>
        <v>Túnez</v>
      </c>
      <c r="I247" s="9" t="str">
        <f ca="1">+WORLDCUP!BD69</f>
        <v>Panamá</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Egipto</v>
      </c>
      <c r="E248" s="9" t="str">
        <f ca="1">+WORLDCUP!BD67</f>
        <v>Argelia</v>
      </c>
      <c r="F248" s="9" t="str">
        <f ca="1">+WORLDCUP!BD60</f>
        <v>Haití</v>
      </c>
      <c r="G248" s="9" t="str">
        <f ca="1">+WORLDCUP!BD58</f>
        <v>República Checa</v>
      </c>
      <c r="H248" s="9" t="str">
        <f ca="1">+WORLDCUP!BD63</f>
        <v>Túnez</v>
      </c>
      <c r="I248" s="9" t="str">
        <f ca="1">+WORLDCUP!BD61</f>
        <v>Estados Unidos</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Egipto</v>
      </c>
      <c r="E249" s="9" t="str">
        <f ca="1">+WORLDCUP!BD63</f>
        <v>Túnez</v>
      </c>
      <c r="F249" s="9" t="str">
        <f ca="1">+WORLDCUP!BD60</f>
        <v>Haití</v>
      </c>
      <c r="G249" s="9" t="str">
        <f ca="1">+WORLDCUP!BD58</f>
        <v>República Checa</v>
      </c>
      <c r="H249" s="9" t="str">
        <f ca="1">+WORLDCUP!BD61</f>
        <v>Estados Unidos</v>
      </c>
      <c r="I249" s="9" t="str">
        <f ca="1">+WORLDCUP!BD69</f>
        <v>Panamá</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Egipto</v>
      </c>
      <c r="E250" s="9" t="str">
        <f ca="1">+WORLDCUP!BD63</f>
        <v>Túnez</v>
      </c>
      <c r="F250" s="9" t="str">
        <f ca="1">+WORLDCUP!BD60</f>
        <v>Haití</v>
      </c>
      <c r="G250" s="9" t="str">
        <f ca="1">+WORLDCUP!BD58</f>
        <v>República Checa</v>
      </c>
      <c r="H250" s="9" t="str">
        <f ca="1">+WORLDCUP!BD61</f>
        <v>Estados Unidos</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Egipto</v>
      </c>
      <c r="E251" s="9" t="str">
        <f ca="1">+WORLDCUP!BD67</f>
        <v>Argelia</v>
      </c>
      <c r="F251" s="9" t="str">
        <f ca="1">+WORLDCUP!BD60</f>
        <v>Haití</v>
      </c>
      <c r="G251" s="9" t="str">
        <f ca="1">+WORLDCUP!BD58</f>
        <v>República Checa</v>
      </c>
      <c r="H251" s="9" t="str">
        <f ca="1">+WORLDCUP!BD63</f>
        <v>Túnez</v>
      </c>
      <c r="I251" s="9" t="str">
        <f ca="1">+WORLDCUP!BD61</f>
        <v>Estados Unidos</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Haití</v>
      </c>
      <c r="G252" s="9" t="str">
        <f ca="1">+WORLDCUP!BD58</f>
        <v>República Checa</v>
      </c>
      <c r="H252" s="9" t="str">
        <f ca="1">+WORLDCUP!BD61</f>
        <v>Estados Unidos</v>
      </c>
      <c r="I252" s="9" t="str">
        <f ca="1">+WORLDCUP!BD69</f>
        <v>Panamá</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Haití</v>
      </c>
      <c r="G253" s="9" t="str">
        <f ca="1">+WORLDCUP!BD58</f>
        <v>República Checa</v>
      </c>
      <c r="H253" s="9" t="str">
        <f ca="1">+WORLDCUP!BD61</f>
        <v>Estados Unidos</v>
      </c>
      <c r="I253" s="9" t="str">
        <f ca="1">+WORLDCUP!BD69</f>
        <v>Panamá</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Haití</v>
      </c>
      <c r="G254" s="9" t="str">
        <f ca="1">+WORLDCUP!BD58</f>
        <v>República Checa</v>
      </c>
      <c r="H254" s="9" t="str">
        <f ca="1">+WORLDCUP!BD61</f>
        <v>Estados Unidos</v>
      </c>
      <c r="I254" s="9" t="str">
        <f ca="1">+WORLDCUP!BD69</f>
        <v>Panamá</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Haití</v>
      </c>
      <c r="G255" s="9" t="str">
        <f ca="1">+WORLDCUP!BD58</f>
        <v>República Checa</v>
      </c>
      <c r="H255" s="9" t="str">
        <f ca="1">+WORLDCUP!BD61</f>
        <v>Estados Unidos</v>
      </c>
      <c r="I255" s="9" t="str">
        <f ca="1">+WORLDCUP!BD69</f>
        <v>Panamá</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Haití</v>
      </c>
      <c r="G256" s="9" t="str">
        <f ca="1">+WORLDCUP!BD58</f>
        <v>República Checa</v>
      </c>
      <c r="H256" s="9" t="str">
        <f ca="1">+WORLDCUP!BD61</f>
        <v>Estados Unidos</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Egipto</v>
      </c>
      <c r="E257" s="9" t="str">
        <f ca="1">+WORLDCUP!BD67</f>
        <v>Argelia</v>
      </c>
      <c r="F257" s="9" t="str">
        <f ca="1">+WORLDCUP!BD60</f>
        <v>Haití</v>
      </c>
      <c r="G257" s="9" t="str">
        <f ca="1">+WORLDCUP!BD58</f>
        <v>República Checa</v>
      </c>
      <c r="H257" s="9" t="str">
        <f ca="1">+WORLDCUP!BD61</f>
        <v>Estados Unidos</v>
      </c>
      <c r="I257" s="9" t="str">
        <f ca="1">+WORLDCUP!BD69</f>
        <v>Panamá</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Egipto</v>
      </c>
      <c r="E258" s="9" t="str">
        <f ca="1">+WORLDCUP!BD66</f>
        <v>Senegal</v>
      </c>
      <c r="F258" s="9" t="str">
        <f ca="1">+WORLDCUP!BD60</f>
        <v>Haití</v>
      </c>
      <c r="G258" s="9" t="str">
        <f ca="1">+WORLDCUP!BD58</f>
        <v>República Checa</v>
      </c>
      <c r="H258" s="9" t="str">
        <f ca="1">+WORLDCUP!BD61</f>
        <v>Estados Unidos</v>
      </c>
      <c r="I258" s="9" t="str">
        <f ca="1">+WORLDCUP!BD69</f>
        <v>Panamá</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Egipto</v>
      </c>
      <c r="E259" s="9" t="str">
        <f ca="1">+WORLDCUP!BD67</f>
        <v>Argelia</v>
      </c>
      <c r="F259" s="9" t="str">
        <f ca="1">+WORLDCUP!BD60</f>
        <v>Haití</v>
      </c>
      <c r="G259" s="9" t="str">
        <f ca="1">+WORLDCUP!BD58</f>
        <v>República Checa</v>
      </c>
      <c r="H259" s="9" t="str">
        <f ca="1">+WORLDCUP!BD61</f>
        <v>Estados Unidos</v>
      </c>
      <c r="I259" s="9" t="str">
        <f ca="1">+WORLDCUP!BD69</f>
        <v>Panamá</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Egipto</v>
      </c>
      <c r="E260" s="9" t="str">
        <f ca="1">+WORLDCUP!BD67</f>
        <v>Argelia</v>
      </c>
      <c r="F260" s="9" t="str">
        <f ca="1">+WORLDCUP!BD60</f>
        <v>Haití</v>
      </c>
      <c r="G260" s="9" t="str">
        <f ca="1">+WORLDCUP!BD58</f>
        <v>República Checa</v>
      </c>
      <c r="H260" s="9" t="str">
        <f ca="1">+WORLDCUP!BD61</f>
        <v>Estados Unidos</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Egipto</v>
      </c>
      <c r="E261" s="9" t="str">
        <f ca="1">+WORLDCUP!BD62</f>
        <v>Costa de Marfil</v>
      </c>
      <c r="F261" s="9" t="str">
        <f ca="1">+WORLDCUP!BD60</f>
        <v>Haití</v>
      </c>
      <c r="G261" s="9" t="str">
        <f ca="1">+WORLDCUP!BD58</f>
        <v>República Checa</v>
      </c>
      <c r="H261" s="9" t="str">
        <f ca="1">+WORLDCUP!BD61</f>
        <v>Estados Unidos</v>
      </c>
      <c r="I261" s="9" t="str">
        <f ca="1">+WORLDCUP!BD69</f>
        <v>Panamá</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Egipto</v>
      </c>
      <c r="E262" s="9" t="str">
        <f ca="1">+WORLDCUP!BD67</f>
        <v>Argelia</v>
      </c>
      <c r="F262" s="9" t="str">
        <f ca="1">+WORLDCUP!BD60</f>
        <v>Haití</v>
      </c>
      <c r="G262" s="9" t="str">
        <f ca="1">+WORLDCUP!BD58</f>
        <v>República Checa</v>
      </c>
      <c r="H262" s="9" t="str">
        <f ca="1">+WORLDCUP!BD61</f>
        <v>Estados Unidos</v>
      </c>
      <c r="I262" s="9" t="str">
        <f ca="1">+WORLDCUP!BD69</f>
        <v>Panamá</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Egipto</v>
      </c>
      <c r="E263" s="9" t="str">
        <f ca="1">+WORLDCUP!BD67</f>
        <v>Argelia</v>
      </c>
      <c r="F263" s="9" t="str">
        <f ca="1">+WORLDCUP!BD60</f>
        <v>Haití</v>
      </c>
      <c r="G263" s="9" t="str">
        <f ca="1">+WORLDCUP!BD58</f>
        <v>República Checa</v>
      </c>
      <c r="H263" s="9" t="str">
        <f ca="1">+WORLDCUP!BD61</f>
        <v>Estados Unidos</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Egipto</v>
      </c>
      <c r="E264" s="9" t="str">
        <f ca="1">+WORLDCUP!BD62</f>
        <v>Costa de Marfil</v>
      </c>
      <c r="F264" s="9" t="str">
        <f ca="1">+WORLDCUP!BD60</f>
        <v>Haití</v>
      </c>
      <c r="G264" s="9" t="str">
        <f ca="1">+WORLDCUP!BD58</f>
        <v>República Checa</v>
      </c>
      <c r="H264" s="9" t="str">
        <f ca="1">+WORLDCUP!BD61</f>
        <v>Estados Unidos</v>
      </c>
      <c r="I264" s="9" t="str">
        <f ca="1">+WORLDCUP!BD69</f>
        <v>Panamá</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Egipto</v>
      </c>
      <c r="E265" s="9" t="str">
        <f ca="1">+WORLDCUP!BD62</f>
        <v>Costa de Marfil</v>
      </c>
      <c r="F265" s="9" t="str">
        <f ca="1">+WORLDCUP!BD60</f>
        <v>Haití</v>
      </c>
      <c r="G265" s="9" t="str">
        <f ca="1">+WORLDCUP!BD58</f>
        <v>República Checa</v>
      </c>
      <c r="H265" s="9" t="str">
        <f ca="1">+WORLDCUP!BD61</f>
        <v>Estados Unidos</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Egipto</v>
      </c>
      <c r="E266" s="9" t="str">
        <f ca="1">+WORLDCUP!BD67</f>
        <v>Argelia</v>
      </c>
      <c r="F266" s="9" t="str">
        <f ca="1">+WORLDCUP!BD60</f>
        <v>Haití</v>
      </c>
      <c r="G266" s="9" t="str">
        <f ca="1">+WORLDCUP!BD58</f>
        <v>República Checa</v>
      </c>
      <c r="H266" s="9" t="str">
        <f ca="1">+WORLDCUP!BD61</f>
        <v>Estados Unidos</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Haití</v>
      </c>
      <c r="D267" s="9" t="str">
        <f ca="1">+WORLDCUP!BD67</f>
        <v>Argelia</v>
      </c>
      <c r="E267" s="9" t="str">
        <f ca="1">+WORLDCUP!BD62</f>
        <v>Costa de Marfil</v>
      </c>
      <c r="F267" s="9" t="str">
        <f ca="1">+WORLDCUP!BD61</f>
        <v>Estados Unidos</v>
      </c>
      <c r="G267" s="9" t="str">
        <f ca="1">+WORLDCUP!BD58</f>
        <v>República Checa</v>
      </c>
      <c r="H267" s="9" t="str">
        <f ca="1">+WORLDCUP!BD63</f>
        <v>Túnez</v>
      </c>
      <c r="I267" s="9" t="str">
        <f ca="1">+WORLDCUP!BD69</f>
        <v>Panamá</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Haití</v>
      </c>
      <c r="D268" s="9" t="str">
        <f ca="1">+WORLDCUP!BD62</f>
        <v>Costa de Marfil</v>
      </c>
      <c r="E268" s="9" t="str">
        <f ca="1">+WORLDCUP!BD66</f>
        <v>Senegal</v>
      </c>
      <c r="F268" s="9" t="str">
        <f ca="1">+WORLDCUP!BD61</f>
        <v>Estados Unidos</v>
      </c>
      <c r="G268" s="9" t="str">
        <f ca="1">+WORLDCUP!BD58</f>
        <v>República Checa</v>
      </c>
      <c r="H268" s="9" t="str">
        <f ca="1">+WORLDCUP!BD63</f>
        <v>Túnez</v>
      </c>
      <c r="I268" s="9" t="str">
        <f ca="1">+WORLDCUP!BD69</f>
        <v>Panamá</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Haití</v>
      </c>
      <c r="D269" s="9" t="str">
        <f ca="1">+WORLDCUP!BD67</f>
        <v>Argelia</v>
      </c>
      <c r="E269" s="9" t="str">
        <f ca="1">+WORLDCUP!BD62</f>
        <v>Costa de Marfil</v>
      </c>
      <c r="F269" s="9" t="str">
        <f ca="1">+WORLDCUP!BD61</f>
        <v>Estados Unidos</v>
      </c>
      <c r="G269" s="9" t="str">
        <f ca="1">+WORLDCUP!BD58</f>
        <v>República Checa</v>
      </c>
      <c r="H269" s="9" t="str">
        <f ca="1">+WORLDCUP!BD63</f>
        <v>Túnez</v>
      </c>
      <c r="I269" s="9" t="str">
        <f ca="1">+WORLDCUP!BD69</f>
        <v>Panamá</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Haití</v>
      </c>
      <c r="D270" s="9" t="str">
        <f ca="1">+WORLDCUP!BD67</f>
        <v>Argelia</v>
      </c>
      <c r="E270" s="9" t="str">
        <f ca="1">+WORLDCUP!BD62</f>
        <v>Costa de Marfil</v>
      </c>
      <c r="F270" s="9" t="str">
        <f ca="1">+WORLDCUP!BD61</f>
        <v>Estados Unidos</v>
      </c>
      <c r="G270" s="9" t="str">
        <f ca="1">+WORLDCUP!BD58</f>
        <v>República Checa</v>
      </c>
      <c r="H270" s="9" t="str">
        <f ca="1">+WORLDCUP!BD63</f>
        <v>Túnez</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Túnez</v>
      </c>
      <c r="F271" s="9" t="str">
        <f ca="1">+WORLDCUP!BD60</f>
        <v>Haití</v>
      </c>
      <c r="G271" s="9" t="str">
        <f ca="1">+WORLDCUP!BD58</f>
        <v>República Checa</v>
      </c>
      <c r="H271" s="9" t="str">
        <f ca="1">+WORLDCUP!BD61</f>
        <v>Estados Unidos</v>
      </c>
      <c r="I271" s="9" t="str">
        <f ca="1">+WORLDCUP!BD69</f>
        <v>Panamá</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Túnez</v>
      </c>
      <c r="F272" s="9" t="str">
        <f ca="1">+WORLDCUP!BD60</f>
        <v>Haití</v>
      </c>
      <c r="G272" s="9" t="str">
        <f ca="1">+WORLDCUP!BD58</f>
        <v>República Checa</v>
      </c>
      <c r="H272" s="9" t="str">
        <f ca="1">+WORLDCUP!BD61</f>
        <v>Estados Unidos</v>
      </c>
      <c r="I272" s="9" t="str">
        <f ca="1">+WORLDCUP!BD69</f>
        <v>Panamá</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Haití</v>
      </c>
      <c r="G273" s="9" t="str">
        <f ca="1">+WORLDCUP!BD58</f>
        <v>República Checa</v>
      </c>
      <c r="H273" s="9" t="str">
        <f ca="1">+WORLDCUP!BD63</f>
        <v>Túnez</v>
      </c>
      <c r="I273" s="9" t="str">
        <f ca="1">+WORLDCUP!BD61</f>
        <v>Estados Unidos</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Túnez</v>
      </c>
      <c r="F274" s="9" t="str">
        <f ca="1">+WORLDCUP!BD60</f>
        <v>Haití</v>
      </c>
      <c r="G274" s="9" t="str">
        <f ca="1">+WORLDCUP!BD58</f>
        <v>República Checa</v>
      </c>
      <c r="H274" s="9" t="str">
        <f ca="1">+WORLDCUP!BD61</f>
        <v>Estados Unidos</v>
      </c>
      <c r="I274" s="9" t="str">
        <f ca="1">+WORLDCUP!BD69</f>
        <v>Panamá</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Túnez</v>
      </c>
      <c r="F275" s="9" t="str">
        <f ca="1">+WORLDCUP!BD60</f>
        <v>Haití</v>
      </c>
      <c r="G275" s="9" t="str">
        <f ca="1">+WORLDCUP!BD58</f>
        <v>República Checa</v>
      </c>
      <c r="H275" s="9" t="str">
        <f ca="1">+WORLDCUP!BD61</f>
        <v>Estados Unidos</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Haití</v>
      </c>
      <c r="G276" s="9" t="str">
        <f ca="1">+WORLDCUP!BD58</f>
        <v>República Checa</v>
      </c>
      <c r="H276" s="9" t="str">
        <f ca="1">+WORLDCUP!BD63</f>
        <v>Túnez</v>
      </c>
      <c r="I276" s="9" t="str">
        <f ca="1">+WORLDCUP!BD61</f>
        <v>Estados Unidos</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Haití</v>
      </c>
      <c r="D277" s="9" t="str">
        <f ca="1">+WORLDCUP!BD64</f>
        <v>Egipto</v>
      </c>
      <c r="E277" s="9" t="str">
        <f ca="1">+WORLDCUP!BD62</f>
        <v>Costa de Marfil</v>
      </c>
      <c r="F277" s="9" t="str">
        <f ca="1">+WORLDCUP!BD61</f>
        <v>Estados Unidos</v>
      </c>
      <c r="G277" s="9" t="str">
        <f ca="1">+WORLDCUP!BD58</f>
        <v>República Checa</v>
      </c>
      <c r="H277" s="9" t="str">
        <f ca="1">+WORLDCUP!BD63</f>
        <v>Túnez</v>
      </c>
      <c r="I277" s="9" t="str">
        <f ca="1">+WORLDCUP!BD69</f>
        <v>Panamá</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Haití</v>
      </c>
      <c r="D278" s="9" t="str">
        <f ca="1">+WORLDCUP!BD64</f>
        <v>Egipto</v>
      </c>
      <c r="E278" s="9" t="str">
        <f ca="1">+WORLDCUP!BD67</f>
        <v>Argelia</v>
      </c>
      <c r="F278" s="9" t="str">
        <f ca="1">+WORLDCUP!BD61</f>
        <v>Estados Unidos</v>
      </c>
      <c r="G278" s="9" t="str">
        <f ca="1">+WORLDCUP!BD58</f>
        <v>República Checa</v>
      </c>
      <c r="H278" s="9" t="str">
        <f ca="1">+WORLDCUP!BD63</f>
        <v>Túnez</v>
      </c>
      <c r="I278" s="9" t="str">
        <f ca="1">+WORLDCUP!BD69</f>
        <v>Panamá</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Haití</v>
      </c>
      <c r="D279" s="9" t="str">
        <f ca="1">+WORLDCUP!BD64</f>
        <v>Egipto</v>
      </c>
      <c r="E279" s="9" t="str">
        <f ca="1">+WORLDCUP!BD67</f>
        <v>Argelia</v>
      </c>
      <c r="F279" s="9" t="str">
        <f ca="1">+WORLDCUP!BD61</f>
        <v>Estados Unidos</v>
      </c>
      <c r="G279" s="9" t="str">
        <f ca="1">+WORLDCUP!BD58</f>
        <v>República Checa</v>
      </c>
      <c r="H279" s="9" t="str">
        <f ca="1">+WORLDCUP!BD63</f>
        <v>Túnez</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Haití</v>
      </c>
      <c r="D280" s="9" t="str">
        <f ca="1">+WORLDCUP!BD64</f>
        <v>Egipto</v>
      </c>
      <c r="E280" s="9" t="str">
        <f ca="1">+WORLDCUP!BD62</f>
        <v>Costa de Marfil</v>
      </c>
      <c r="F280" s="9" t="str">
        <f ca="1">+WORLDCUP!BD61</f>
        <v>Estados Unidos</v>
      </c>
      <c r="G280" s="9" t="str">
        <f ca="1">+WORLDCUP!BD58</f>
        <v>República Checa</v>
      </c>
      <c r="H280" s="9" t="str">
        <f ca="1">+WORLDCUP!BD63</f>
        <v>Túnez</v>
      </c>
      <c r="I280" s="9" t="str">
        <f ca="1">+WORLDCUP!BD69</f>
        <v>Panamá</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Haití</v>
      </c>
      <c r="D281" s="9" t="str">
        <f ca="1">+WORLDCUP!BD64</f>
        <v>Egipto</v>
      </c>
      <c r="E281" s="9" t="str">
        <f ca="1">+WORLDCUP!BD62</f>
        <v>Costa de Marfil</v>
      </c>
      <c r="F281" s="9" t="str">
        <f ca="1">+WORLDCUP!BD61</f>
        <v>Estados Unidos</v>
      </c>
      <c r="G281" s="9" t="str">
        <f ca="1">+WORLDCUP!BD58</f>
        <v>República Checa</v>
      </c>
      <c r="H281" s="9" t="str">
        <f ca="1">+WORLDCUP!BD63</f>
        <v>Túnez</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Haití</v>
      </c>
      <c r="D282" s="9" t="str">
        <f ca="1">+WORLDCUP!BD64</f>
        <v>Egipto</v>
      </c>
      <c r="E282" s="9" t="str">
        <f ca="1">+WORLDCUP!BD67</f>
        <v>Argelia</v>
      </c>
      <c r="F282" s="9" t="str">
        <f ca="1">+WORLDCUP!BD61</f>
        <v>Estados Unidos</v>
      </c>
      <c r="G282" s="9" t="str">
        <f ca="1">+WORLDCUP!BD58</f>
        <v>República Checa</v>
      </c>
      <c r="H282" s="9" t="str">
        <f ca="1">+WORLDCUP!BD63</f>
        <v>Túnez</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Egipto</v>
      </c>
      <c r="E283" s="9" t="str">
        <f ca="1">+WORLDCUP!BD63</f>
        <v>Túnez</v>
      </c>
      <c r="F283" s="9" t="str">
        <f ca="1">+WORLDCUP!BD60</f>
        <v>Haití</v>
      </c>
      <c r="G283" s="9" t="str">
        <f ca="1">+WORLDCUP!BD58</f>
        <v>República Checa</v>
      </c>
      <c r="H283" s="9" t="str">
        <f ca="1">+WORLDCUP!BD61</f>
        <v>Estados Unidos</v>
      </c>
      <c r="I283" s="9" t="str">
        <f ca="1">+WORLDCUP!BD69</f>
        <v>Panamá</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Egipto</v>
      </c>
      <c r="E284" s="9" t="str">
        <f ca="1">+WORLDCUP!BD62</f>
        <v>Costa de Marfil</v>
      </c>
      <c r="F284" s="9" t="str">
        <f ca="1">+WORLDCUP!BD60</f>
        <v>Haití</v>
      </c>
      <c r="G284" s="9" t="str">
        <f ca="1">+WORLDCUP!BD58</f>
        <v>República Checa</v>
      </c>
      <c r="H284" s="9" t="str">
        <f ca="1">+WORLDCUP!BD63</f>
        <v>Túnez</v>
      </c>
      <c r="I284" s="9" t="str">
        <f ca="1">+WORLDCUP!BD61</f>
        <v>Estados Unidos</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Egipto</v>
      </c>
      <c r="E285" s="9" t="str">
        <f ca="1">+WORLDCUP!BD67</f>
        <v>Argelia</v>
      </c>
      <c r="F285" s="9" t="str">
        <f ca="1">+WORLDCUP!BD60</f>
        <v>Haití</v>
      </c>
      <c r="G285" s="9" t="str">
        <f ca="1">+WORLDCUP!BD58</f>
        <v>República Checa</v>
      </c>
      <c r="H285" s="9" t="str">
        <f ca="1">+WORLDCUP!BD63</f>
        <v>Túnez</v>
      </c>
      <c r="I285" s="9" t="str">
        <f ca="1">+WORLDCUP!BD61</f>
        <v>Estados Unidos</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Egipto</v>
      </c>
      <c r="E286" s="9" t="str">
        <f ca="1">+WORLDCUP!BD62</f>
        <v>Costa de Marfil</v>
      </c>
      <c r="F286" s="9" t="str">
        <f ca="1">+WORLDCUP!BD60</f>
        <v>Haití</v>
      </c>
      <c r="G286" s="9" t="str">
        <f ca="1">+WORLDCUP!BD58</f>
        <v>República Checa</v>
      </c>
      <c r="H286" s="9" t="str">
        <f ca="1">+WORLDCUP!BD63</f>
        <v>Túnez</v>
      </c>
      <c r="I286" s="9" t="str">
        <f ca="1">+WORLDCUP!BD61</f>
        <v>Estados Unidos</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Egipto</v>
      </c>
      <c r="I287" s="9" t="str">
        <f ca="1">+WORLDCUP!BD69</f>
        <v>Panamá</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Túnez</v>
      </c>
      <c r="I288" s="9" t="str">
        <f ca="1">+WORLDCUP!BD69</f>
        <v>Panamá</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Túnez</v>
      </c>
      <c r="G289" s="9" t="str">
        <f ca="1">+WORLDCUP!BD58</f>
        <v>República Checa</v>
      </c>
      <c r="H289" s="9" t="str">
        <f ca="1">+WORLDCUP!BD64</f>
        <v>Egipto</v>
      </c>
      <c r="I289" s="9" t="str">
        <f ca="1">+WORLDCUP!BD69</f>
        <v>Panamá</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Túnez</v>
      </c>
      <c r="G290" s="9" t="str">
        <f ca="1">+WORLDCUP!BD58</f>
        <v>República Checa</v>
      </c>
      <c r="H290" s="9" t="str">
        <f ca="1">+WORLDCUP!BD64</f>
        <v>Egipto</v>
      </c>
      <c r="I290" s="9" t="str">
        <f ca="1">+WORLDCUP!BD69</f>
        <v>Panamá</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Egipto</v>
      </c>
      <c r="E291" s="9" t="str">
        <f ca="1">+WORLDCUP!BD59</f>
        <v>Bosnia y Herzegovina</v>
      </c>
      <c r="F291" s="9" t="str">
        <f ca="1">+WORLDCUP!BD58</f>
        <v>República Checa</v>
      </c>
      <c r="G291" s="9" t="str">
        <f ca="1">+WORLDCUP!BD66</f>
        <v>Senegal</v>
      </c>
      <c r="H291" s="9" t="str">
        <f ca="1">+WORLDCUP!BD63</f>
        <v>Túnez</v>
      </c>
      <c r="I291" s="9" t="str">
        <f ca="1">+WORLDCUP!BD69</f>
        <v>Panamá</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Túnez</v>
      </c>
      <c r="G292" s="9" t="str">
        <f ca="1">+WORLDCUP!BD58</f>
        <v>República Checa</v>
      </c>
      <c r="H292" s="9" t="str">
        <f ca="1">+WORLDCUP!BD64</f>
        <v>Egipto</v>
      </c>
      <c r="I292" s="9" t="str">
        <f ca="1">+WORLDCUP!BD69</f>
        <v>Panamá</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Túnez</v>
      </c>
      <c r="G293" s="9" t="str">
        <f ca="1">+WORLDCUP!BD58</f>
        <v>República Checa</v>
      </c>
      <c r="H293" s="9" t="str">
        <f ca="1">+WORLDCUP!BD64</f>
        <v>Egipto</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Panamá</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Egipto</v>
      </c>
      <c r="I295" s="9" t="str">
        <f ca="1">+WORLDCUP!BD69</f>
        <v>Panamá</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Egipto</v>
      </c>
      <c r="I296" s="9" t="str">
        <f ca="1">+WORLDCUP!BD69</f>
        <v>Panamá</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Egipto</v>
      </c>
      <c r="E297" s="9" t="str">
        <f ca="1">+WORLDCUP!BD59</f>
        <v>Bosnia y Herzegovina</v>
      </c>
      <c r="F297" s="9" t="str">
        <f ca="1">+WORLDCUP!BD58</f>
        <v>República Checa</v>
      </c>
      <c r="G297" s="9" t="str">
        <f ca="1">+WORLDCUP!BD66</f>
        <v>Senegal</v>
      </c>
      <c r="H297" s="9" t="str">
        <f ca="1">+WORLDCUP!BD65</f>
        <v>Arabia Saudita</v>
      </c>
      <c r="I297" s="9" t="str">
        <f ca="1">+WORLDCUP!BD69</f>
        <v>Panamá</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Egipto</v>
      </c>
      <c r="I298" s="9" t="str">
        <f ca="1">+WORLDCUP!BD69</f>
        <v>Panamá</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Egipto</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Túnez</v>
      </c>
      <c r="I300" s="9" t="str">
        <f ca="1">+WORLDCUP!BD69</f>
        <v>Panamá</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Túnez</v>
      </c>
      <c r="G301" s="9" t="str">
        <f ca="1">+WORLDCUP!BD58</f>
        <v>República Checa</v>
      </c>
      <c r="H301" s="9" t="str">
        <f ca="1">+WORLDCUP!BD65</f>
        <v>Arabia Saudita</v>
      </c>
      <c r="I301" s="9" t="str">
        <f ca="1">+WORLDCUP!BD69</f>
        <v>Panamá</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Túnez</v>
      </c>
      <c r="G302" s="9" t="str">
        <f ca="1">+WORLDCUP!BD58</f>
        <v>República Checa</v>
      </c>
      <c r="H302" s="9" t="str">
        <f ca="1">+WORLDCUP!BD65</f>
        <v>Arabia Saudita</v>
      </c>
      <c r="I302" s="9" t="str">
        <f ca="1">+WORLDCUP!BD69</f>
        <v>Panamá</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Túnez</v>
      </c>
      <c r="G303" s="9" t="str">
        <f ca="1">+WORLDCUP!BD58</f>
        <v>República Checa</v>
      </c>
      <c r="H303" s="9" t="str">
        <f ca="1">+WORLDCUP!BD65</f>
        <v>Arabia Saudita</v>
      </c>
      <c r="I303" s="9" t="str">
        <f ca="1">+WORLDCUP!BD69</f>
        <v>Panamá</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Túnez</v>
      </c>
      <c r="G304" s="9" t="str">
        <f ca="1">+WORLDCUP!BD58</f>
        <v>República Checa</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Túnez</v>
      </c>
      <c r="G305" s="9" t="str">
        <f ca="1">+WORLDCUP!BD58</f>
        <v>República Checa</v>
      </c>
      <c r="H305" s="9" t="str">
        <f ca="1">+WORLDCUP!BD64</f>
        <v>Egipto</v>
      </c>
      <c r="I305" s="9" t="str">
        <f ca="1">+WORLDCUP!BD69</f>
        <v>Panamá</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Egipto</v>
      </c>
      <c r="E306" s="9" t="str">
        <f ca="1">+WORLDCUP!BD59</f>
        <v>Bosnia y Herzegovina</v>
      </c>
      <c r="F306" s="9" t="str">
        <f ca="1">+WORLDCUP!BD58</f>
        <v>República Checa</v>
      </c>
      <c r="G306" s="9" t="str">
        <f ca="1">+WORLDCUP!BD66</f>
        <v>Senegal</v>
      </c>
      <c r="H306" s="9" t="str">
        <f ca="1">+WORLDCUP!BD63</f>
        <v>Túnez</v>
      </c>
      <c r="I306" s="9" t="str">
        <f ca="1">+WORLDCUP!BD69</f>
        <v>Panamá</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1</v>
      </c>
      <c r="C307" s="9" t="str">
        <f ca="1">+WORLDCUP!BD62</f>
        <v>Costa de Marfil</v>
      </c>
      <c r="D307" s="9" t="str">
        <f ca="1">+WORLDCUP!BD67</f>
        <v>Argelia</v>
      </c>
      <c r="E307" s="9" t="str">
        <f ca="1">+WORLDCUP!BD59</f>
        <v>Bosnia y Herzegovina</v>
      </c>
      <c r="F307" s="9" t="str">
        <f ca="1">+WORLDCUP!BD63</f>
        <v>Túnez</v>
      </c>
      <c r="G307" s="9" t="str">
        <f ca="1">+WORLDCUP!BD58</f>
        <v>República Checa</v>
      </c>
      <c r="H307" s="9" t="str">
        <f ca="1">+WORLDCUP!BD64</f>
        <v>Egipto</v>
      </c>
      <c r="I307" s="9" t="str">
        <f ca="1">+WORLDCUP!BD69</f>
        <v>Panamá</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Túnez</v>
      </c>
      <c r="G308" s="9" t="str">
        <f ca="1">+WORLDCUP!BD58</f>
        <v>República Checa</v>
      </c>
      <c r="H308" s="9" t="str">
        <f ca="1">+WORLDCUP!BD64</f>
        <v>Egipto</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Egipto</v>
      </c>
      <c r="E309" s="9" t="str">
        <f ca="1">+WORLDCUP!BD59</f>
        <v>Bosnia y Herzegovina</v>
      </c>
      <c r="F309" s="9" t="str">
        <f ca="1">+WORLDCUP!BD63</f>
        <v>Túnez</v>
      </c>
      <c r="G309" s="9" t="str">
        <f ca="1">+WORLDCUP!BD58</f>
        <v>República Checa</v>
      </c>
      <c r="H309" s="9" t="str">
        <f ca="1">+WORLDCUP!BD65</f>
        <v>Arabia Saudita</v>
      </c>
      <c r="I309" s="9" t="str">
        <f ca="1">+WORLDCUP!BD69</f>
        <v>Panamá</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Túnez</v>
      </c>
      <c r="G310" s="9" t="str">
        <f ca="1">+WORLDCUP!BD58</f>
        <v>República Checa</v>
      </c>
      <c r="H310" s="9" t="str">
        <f ca="1">+WORLDCUP!BD64</f>
        <v>Egipto</v>
      </c>
      <c r="I310" s="9" t="str">
        <f ca="1">+WORLDCUP!BD69</f>
        <v>Panamá</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Túnez</v>
      </c>
      <c r="G311" s="9" t="str">
        <f ca="1">+WORLDCUP!BD58</f>
        <v>República Checa</v>
      </c>
      <c r="H311" s="9" t="str">
        <f ca="1">+WORLDCUP!BD64</f>
        <v>Egipto</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Egipto</v>
      </c>
      <c r="E312" s="9" t="str">
        <f ca="1">+WORLDCUP!BD59</f>
        <v>Bosnia y Herzegovina</v>
      </c>
      <c r="F312" s="9" t="str">
        <f ca="1">+WORLDCUP!BD63</f>
        <v>Túnez</v>
      </c>
      <c r="G312" s="9" t="str">
        <f ca="1">+WORLDCUP!BD58</f>
        <v>República Checa</v>
      </c>
      <c r="H312" s="9" t="str">
        <f ca="1">+WORLDCUP!BD65</f>
        <v>Arabia Saudita</v>
      </c>
      <c r="I312" s="9" t="str">
        <f ca="1">+WORLDCUP!BD69</f>
        <v>Panamá</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Egipto</v>
      </c>
      <c r="E313" s="9" t="str">
        <f ca="1">+WORLDCUP!BD59</f>
        <v>Bosnia y Herzegovina</v>
      </c>
      <c r="F313" s="9" t="str">
        <f ca="1">+WORLDCUP!BD63</f>
        <v>Túnez</v>
      </c>
      <c r="G313" s="9" t="str">
        <f ca="1">+WORLDCUP!BD58</f>
        <v>República Checa</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Túnez</v>
      </c>
      <c r="G314" s="9" t="str">
        <f ca="1">+WORLDCUP!BD58</f>
        <v>República Checa</v>
      </c>
      <c r="H314" s="9" t="str">
        <f ca="1">+WORLDCUP!BD64</f>
        <v>Egipto</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Estados Unidos</v>
      </c>
      <c r="G315" s="9" t="str">
        <f ca="1">+WORLDCUP!BD58</f>
        <v>República Checa</v>
      </c>
      <c r="H315" s="9" t="str">
        <f ca="1">+WORLDCUP!BD65</f>
        <v>Arabia Saudita</v>
      </c>
      <c r="I315" s="9" t="str">
        <f ca="1">+WORLDCUP!BD69</f>
        <v>Panamá</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Estados Unidos</v>
      </c>
      <c r="G316" s="9" t="str">
        <f ca="1">+WORLDCUP!BD58</f>
        <v>República Checa</v>
      </c>
      <c r="H316" s="9" t="str">
        <f ca="1">+WORLDCUP!BD64</f>
        <v>Egipto</v>
      </c>
      <c r="I316" s="9" t="str">
        <f ca="1">+WORLDCUP!BD69</f>
        <v>Panamá</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Estados Unidos</v>
      </c>
      <c r="G317" s="9" t="str">
        <f ca="1">+WORLDCUP!BD58</f>
        <v>República Checa</v>
      </c>
      <c r="H317" s="9" t="str">
        <f ca="1">+WORLDCUP!BD64</f>
        <v>Egipto</v>
      </c>
      <c r="I317" s="9" t="str">
        <f ca="1">+WORLDCUP!BD69</f>
        <v>Panamá</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Egipto</v>
      </c>
      <c r="E318" s="9" t="str">
        <f ca="1">+WORLDCUP!BD59</f>
        <v>Bosnia y Herzegovina</v>
      </c>
      <c r="F318" s="9" t="str">
        <f ca="1">+WORLDCUP!BD61</f>
        <v>Estados Unidos</v>
      </c>
      <c r="G318" s="9" t="str">
        <f ca="1">+WORLDCUP!BD58</f>
        <v>República Checa</v>
      </c>
      <c r="H318" s="9" t="str">
        <f ca="1">+WORLDCUP!BD65</f>
        <v>Arabia Saudita</v>
      </c>
      <c r="I318" s="9" t="str">
        <f ca="1">+WORLDCUP!BD69</f>
        <v>Panamá</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Estados Unidos</v>
      </c>
      <c r="G319" s="9" t="str">
        <f ca="1">+WORLDCUP!BD58</f>
        <v>República Checa</v>
      </c>
      <c r="H319" s="9" t="str">
        <f ca="1">+WORLDCUP!BD64</f>
        <v>Egipto</v>
      </c>
      <c r="I319" s="9" t="str">
        <f ca="1">+WORLDCUP!BD69</f>
        <v>Panamá</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Estados Unidos</v>
      </c>
      <c r="G320" s="9" t="str">
        <f ca="1">+WORLDCUP!BD58</f>
        <v>República Checa</v>
      </c>
      <c r="H320" s="9" t="str">
        <f ca="1">+WORLDCUP!BD64</f>
        <v>Egipto</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Estados Unidos</v>
      </c>
      <c r="G321" s="9" t="str">
        <f ca="1">+WORLDCUP!BD58</f>
        <v>República Checa</v>
      </c>
      <c r="H321" s="9" t="str">
        <f ca="1">+WORLDCUP!BD63</f>
        <v>Túnez</v>
      </c>
      <c r="I321" s="9" t="str">
        <f ca="1">+WORLDCUP!BD69</f>
        <v>Panamá</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Estados Unidos</v>
      </c>
      <c r="G322" s="9" t="str">
        <f ca="1">+WORLDCUP!BD58</f>
        <v>República Checa</v>
      </c>
      <c r="H322" s="9" t="str">
        <f ca="1">+WORLDCUP!BD63</f>
        <v>Túnez</v>
      </c>
      <c r="I322" s="9" t="str">
        <f ca="1">+WORLDCUP!BD69</f>
        <v>Panamá</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República Checa</v>
      </c>
      <c r="H323" s="9" t="str">
        <f ca="1">+WORLDCUP!BD63</f>
        <v>Túnez</v>
      </c>
      <c r="I323" s="9" t="str">
        <f ca="1">+WORLDCUP!BD69</f>
        <v>Panamá</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Estados Unidos</v>
      </c>
      <c r="G324" s="9" t="str">
        <f ca="1">+WORLDCUP!BD58</f>
        <v>República Checa</v>
      </c>
      <c r="H324" s="9" t="str">
        <f ca="1">+WORLDCUP!BD63</f>
        <v>Túnez</v>
      </c>
      <c r="I324" s="9" t="str">
        <f ca="1">+WORLDCUP!BD69</f>
        <v>Panamá</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Estados Unidos</v>
      </c>
      <c r="G325" s="9" t="str">
        <f ca="1">+WORLDCUP!BD58</f>
        <v>República Checa</v>
      </c>
      <c r="H325" s="9" t="str">
        <f ca="1">+WORLDCUP!BD63</f>
        <v>Túnez</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Túnez</v>
      </c>
      <c r="D326" s="9" t="str">
        <f ca="1">+WORLDCUP!BD67</f>
        <v>Argelia</v>
      </c>
      <c r="E326" s="9" t="str">
        <f ca="1">+WORLDCUP!BD59</f>
        <v>Bosnia y Herzegovina</v>
      </c>
      <c r="F326" s="9" t="str">
        <f ca="1">+WORLDCUP!BD61</f>
        <v>Estados Unidos</v>
      </c>
      <c r="G326" s="9" t="str">
        <f ca="1">+WORLDCUP!BD58</f>
        <v>República Checa</v>
      </c>
      <c r="H326" s="9" t="str">
        <f ca="1">+WORLDCUP!BD64</f>
        <v>Egipto</v>
      </c>
      <c r="I326" s="9" t="str">
        <f ca="1">+WORLDCUP!BD69</f>
        <v>Panamá</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Egipto</v>
      </c>
      <c r="E327" s="9" t="str">
        <f ca="1">+WORLDCUP!BD59</f>
        <v>Bosnia y Herzegovina</v>
      </c>
      <c r="F327" s="9" t="str">
        <f ca="1">+WORLDCUP!BD61</f>
        <v>Estados Unidos</v>
      </c>
      <c r="G327" s="9" t="str">
        <f ca="1">+WORLDCUP!BD58</f>
        <v>República Checa</v>
      </c>
      <c r="H327" s="9" t="str">
        <f ca="1">+WORLDCUP!BD63</f>
        <v>Túnez</v>
      </c>
      <c r="I327" s="9" t="str">
        <f ca="1">+WORLDCUP!BD69</f>
        <v>Panamá</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Túnez</v>
      </c>
      <c r="D328" s="9" t="str">
        <f ca="1">+WORLDCUP!BD67</f>
        <v>Argelia</v>
      </c>
      <c r="E328" s="9" t="str">
        <f ca="1">+WORLDCUP!BD59</f>
        <v>Bosnia y Herzegovina</v>
      </c>
      <c r="F328" s="9" t="str">
        <f ca="1">+WORLDCUP!BD61</f>
        <v>Estados Unidos</v>
      </c>
      <c r="G328" s="9" t="str">
        <f ca="1">+WORLDCUP!BD58</f>
        <v>República Checa</v>
      </c>
      <c r="H328" s="9" t="str">
        <f ca="1">+WORLDCUP!BD64</f>
        <v>Egipto</v>
      </c>
      <c r="I328" s="9" t="str">
        <f ca="1">+WORLDCUP!BD69</f>
        <v>Panamá</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Túnez</v>
      </c>
      <c r="D329" s="9" t="str">
        <f ca="1">+WORLDCUP!BD67</f>
        <v>Argelia</v>
      </c>
      <c r="E329" s="9" t="str">
        <f ca="1">+WORLDCUP!BD59</f>
        <v>Bosnia y Herzegovina</v>
      </c>
      <c r="F329" s="9" t="str">
        <f ca="1">+WORLDCUP!BD61</f>
        <v>Estados Unidos</v>
      </c>
      <c r="G329" s="9" t="str">
        <f ca="1">+WORLDCUP!BD58</f>
        <v>República Checa</v>
      </c>
      <c r="H329" s="9" t="str">
        <f ca="1">+WORLDCUP!BD64</f>
        <v>Egipto</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Egipto</v>
      </c>
      <c r="E330" s="9" t="str">
        <f ca="1">+WORLDCUP!BD59</f>
        <v>Bosnia y Herzegovina</v>
      </c>
      <c r="F330" s="9" t="str">
        <f ca="1">+WORLDCUP!BD61</f>
        <v>Estados Unidos</v>
      </c>
      <c r="G330" s="9" t="str">
        <f ca="1">+WORLDCUP!BD58</f>
        <v>República Checa</v>
      </c>
      <c r="H330" s="9" t="str">
        <f ca="1">+WORLDCUP!BD63</f>
        <v>Túnez</v>
      </c>
      <c r="I330" s="9" t="str">
        <f ca="1">+WORLDCUP!BD69</f>
        <v>Panamá</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Egipto</v>
      </c>
      <c r="E331" s="9" t="str">
        <f ca="1">+WORLDCUP!BD59</f>
        <v>Bosnia y Herzegovina</v>
      </c>
      <c r="F331" s="9" t="str">
        <f ca="1">+WORLDCUP!BD61</f>
        <v>Estados Unidos</v>
      </c>
      <c r="G331" s="9" t="str">
        <f ca="1">+WORLDCUP!BD58</f>
        <v>República Checa</v>
      </c>
      <c r="H331" s="9" t="str">
        <f ca="1">+WORLDCUP!BD63</f>
        <v>Túnez</v>
      </c>
      <c r="I331" s="9" t="str">
        <f ca="1">+WORLDCUP!BD69</f>
        <v>Panamá</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Egipto</v>
      </c>
      <c r="E332" s="9" t="str">
        <f ca="1">+WORLDCUP!BD59</f>
        <v>Bosnia y Herzegovina</v>
      </c>
      <c r="F332" s="9" t="str">
        <f ca="1">+WORLDCUP!BD61</f>
        <v>Estados Unidos</v>
      </c>
      <c r="G332" s="9" t="str">
        <f ca="1">+WORLDCUP!BD58</f>
        <v>República Checa</v>
      </c>
      <c r="H332" s="9" t="str">
        <f ca="1">+WORLDCUP!BD63</f>
        <v>Túnez</v>
      </c>
      <c r="I332" s="9" t="str">
        <f ca="1">+WORLDCUP!BD67</f>
        <v>Argelia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Egipto</v>
      </c>
      <c r="E333" s="9" t="str">
        <f ca="1">+WORLDCUP!BD59</f>
        <v>Bosnia y Herzegovina</v>
      </c>
      <c r="F333" s="9" t="str">
        <f ca="1">+WORLDCUP!BD61</f>
        <v>Estados Unidos</v>
      </c>
      <c r="G333" s="9" t="str">
        <f ca="1">+WORLDCUP!BD58</f>
        <v>República Checa</v>
      </c>
      <c r="H333" s="9" t="str">
        <f ca="1">+WORLDCUP!BD63</f>
        <v>Túnez</v>
      </c>
      <c r="I333" s="9" t="str">
        <f ca="1">+WORLDCUP!BD69</f>
        <v>Panamá</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Egipto</v>
      </c>
      <c r="E334" s="9" t="str">
        <f ca="1">+WORLDCUP!BD59</f>
        <v>Bosnia y Herzegovina</v>
      </c>
      <c r="F334" s="9" t="str">
        <f ca="1">+WORLDCUP!BD61</f>
        <v>Estados Unidos</v>
      </c>
      <c r="G334" s="9" t="str">
        <f ca="1">+WORLDCUP!BD58</f>
        <v>República Checa</v>
      </c>
      <c r="H334" s="9" t="str">
        <f ca="1">+WORLDCUP!BD63</f>
        <v>Túnez</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Egipto</v>
      </c>
      <c r="E335" s="9" t="str">
        <f ca="1">+WORLDCUP!BD59</f>
        <v>Bosnia y Herzegovina</v>
      </c>
      <c r="F335" s="9" t="str">
        <f ca="1">+WORLDCUP!BD61</f>
        <v>Estados Unidos</v>
      </c>
      <c r="G335" s="9" t="str">
        <f ca="1">+WORLDCUP!BD58</f>
        <v>República Checa</v>
      </c>
      <c r="H335" s="9" t="str">
        <f ca="1">+WORLDCUP!BD63</f>
        <v>Túnez</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Estados Unidos</v>
      </c>
      <c r="I336" s="9" t="str">
        <f ca="1">+WORLDCUP!BD69</f>
        <v>Panamá</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Estados Unidos</v>
      </c>
      <c r="G337" s="9" t="str">
        <f ca="1">+WORLDCUP!BD58</f>
        <v>República Checa</v>
      </c>
      <c r="H337" s="9" t="str">
        <f ca="1">+WORLDCUP!BD65</f>
        <v>Arabia Saudita</v>
      </c>
      <c r="I337" s="9" t="str">
        <f ca="1">+WORLDCUP!BD69</f>
        <v>Panamá</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Estados Unidos</v>
      </c>
      <c r="G338" s="9" t="str">
        <f ca="1">+WORLDCUP!BD58</f>
        <v>República Checa</v>
      </c>
      <c r="H338" s="9" t="str">
        <f ca="1">+WORLDCUP!BD65</f>
        <v>Arabia Saudita</v>
      </c>
      <c r="I338" s="9" t="str">
        <f ca="1">+WORLDCUP!BD69</f>
        <v>Panamá</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Estados Unidos</v>
      </c>
      <c r="G339" s="9" t="str">
        <f ca="1">+WORLDCUP!BD58</f>
        <v>República Checa</v>
      </c>
      <c r="H339" s="9" t="str">
        <f ca="1">+WORLDCUP!BD65</f>
        <v>Arabia Saudita</v>
      </c>
      <c r="I339" s="9" t="str">
        <f ca="1">+WORLDCUP!BD69</f>
        <v>Panamá</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Estados Unidos</v>
      </c>
      <c r="G340" s="9" t="str">
        <f ca="1">+WORLDCUP!BD58</f>
        <v>República Checa</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Estados Unidos</v>
      </c>
      <c r="G341" s="9" t="str">
        <f ca="1">+WORLDCUP!BD58</f>
        <v>República Checa</v>
      </c>
      <c r="H341" s="9" t="str">
        <f ca="1">+WORLDCUP!BD64</f>
        <v>Egipto</v>
      </c>
      <c r="I341" s="9" t="str">
        <f ca="1">+WORLDCUP!BD69</f>
        <v>Panamá</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Egipto</v>
      </c>
      <c r="E342" s="9" t="str">
        <f ca="1">+WORLDCUP!BD59</f>
        <v>Bosnia y Herzegovina</v>
      </c>
      <c r="F342" s="9" t="str">
        <f ca="1">+WORLDCUP!BD58</f>
        <v>República Checa</v>
      </c>
      <c r="G342" s="9" t="str">
        <f ca="1">+WORLDCUP!BD66</f>
        <v>Senegal</v>
      </c>
      <c r="H342" s="9" t="str">
        <f ca="1">+WORLDCUP!BD61</f>
        <v>Estados Unidos</v>
      </c>
      <c r="I342" s="9" t="str">
        <f ca="1">+WORLDCUP!BD69</f>
        <v>Panamá</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Estados Unidos</v>
      </c>
      <c r="G343" s="9" t="str">
        <f ca="1">+WORLDCUP!BD58</f>
        <v>República Checa</v>
      </c>
      <c r="H343" s="9" t="str">
        <f ca="1">+WORLDCUP!BD64</f>
        <v>Egipto</v>
      </c>
      <c r="I343" s="9" t="str">
        <f ca="1">+WORLDCUP!BD69</f>
        <v>Panamá</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Estados Unidos</v>
      </c>
      <c r="G344" s="9" t="str">
        <f ca="1">+WORLDCUP!BD58</f>
        <v>República Checa</v>
      </c>
      <c r="H344" s="9" t="str">
        <f ca="1">+WORLDCUP!BD64</f>
        <v>Egipto</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Egipto</v>
      </c>
      <c r="E345" s="9" t="str">
        <f ca="1">+WORLDCUP!BD59</f>
        <v>Bosnia y Herzegovina</v>
      </c>
      <c r="F345" s="9" t="str">
        <f ca="1">+WORLDCUP!BD61</f>
        <v>Estados Unidos</v>
      </c>
      <c r="G345" s="9" t="str">
        <f ca="1">+WORLDCUP!BD58</f>
        <v>República Checa</v>
      </c>
      <c r="H345" s="9" t="str">
        <f ca="1">+WORLDCUP!BD65</f>
        <v>Arabia Saudita</v>
      </c>
      <c r="I345" s="9" t="str">
        <f ca="1">+WORLDCUP!BD69</f>
        <v>Panamá</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Estados Unidos</v>
      </c>
      <c r="G346" s="9" t="str">
        <f ca="1">+WORLDCUP!BD58</f>
        <v>República Checa</v>
      </c>
      <c r="H346" s="9" t="str">
        <f ca="1">+WORLDCUP!BD64</f>
        <v>Egipto</v>
      </c>
      <c r="I346" s="9" t="str">
        <f ca="1">+WORLDCUP!BD69</f>
        <v>Panamá</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Estados Unidos</v>
      </c>
      <c r="G347" s="9" t="str">
        <f ca="1">+WORLDCUP!BD58</f>
        <v>República Checa</v>
      </c>
      <c r="H347" s="9" t="str">
        <f ca="1">+WORLDCUP!BD64</f>
        <v>Egipto</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Egipto</v>
      </c>
      <c r="E348" s="9" t="str">
        <f ca="1">+WORLDCUP!BD59</f>
        <v>Bosnia y Herzegovina</v>
      </c>
      <c r="F348" s="9" t="str">
        <f ca="1">+WORLDCUP!BD61</f>
        <v>Estados Unidos</v>
      </c>
      <c r="G348" s="9" t="str">
        <f ca="1">+WORLDCUP!BD58</f>
        <v>República Checa</v>
      </c>
      <c r="H348" s="9" t="str">
        <f ca="1">+WORLDCUP!BD65</f>
        <v>Arabia Saudita</v>
      </c>
      <c r="I348" s="9" t="str">
        <f ca="1">+WORLDCUP!BD69</f>
        <v>Panamá</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Egipto</v>
      </c>
      <c r="E349" s="9" t="str">
        <f ca="1">+WORLDCUP!BD59</f>
        <v>Bosnia y Herzegovina</v>
      </c>
      <c r="F349" s="9" t="str">
        <f ca="1">+WORLDCUP!BD61</f>
        <v>Estados Unidos</v>
      </c>
      <c r="G349" s="9" t="str">
        <f ca="1">+WORLDCUP!BD58</f>
        <v>República Checa</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Estados Unidos</v>
      </c>
      <c r="G350" s="9" t="str">
        <f ca="1">+WORLDCUP!BD58</f>
        <v>República Checa</v>
      </c>
      <c r="H350" s="9" t="str">
        <f ca="1">+WORLDCUP!BD64</f>
        <v>Egipto</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Estados Unidos</v>
      </c>
      <c r="G351" s="9" t="str">
        <f ca="1">+WORLDCUP!BD58</f>
        <v>República Checa</v>
      </c>
      <c r="H351" s="9" t="str">
        <f ca="1">+WORLDCUP!BD63</f>
        <v>Túnez</v>
      </c>
      <c r="I351" s="9" t="str">
        <f ca="1">+WORLDCUP!BD69</f>
        <v>Panamá</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Estados Unidos</v>
      </c>
      <c r="G352" s="9" t="str">
        <f ca="1">+WORLDCUP!BD58</f>
        <v>República Checa</v>
      </c>
      <c r="H352" s="9" t="str">
        <f ca="1">+WORLDCUP!BD63</f>
        <v>Túnez</v>
      </c>
      <c r="I352" s="9" t="str">
        <f ca="1">+WORLDCUP!BD69</f>
        <v>Panamá</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Estados Unidos</v>
      </c>
      <c r="G353" s="9" t="str">
        <f ca="1">+WORLDCUP!BD58</f>
        <v>República Checa</v>
      </c>
      <c r="H353" s="9" t="str">
        <f ca="1">+WORLDCUP!BD63</f>
        <v>Túnez</v>
      </c>
      <c r="I353" s="9" t="str">
        <f ca="1">+WORLDCUP!BD69</f>
        <v>Panamá</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Estados Unidos</v>
      </c>
      <c r="G354" s="9" t="str">
        <f ca="1">+WORLDCUP!BD58</f>
        <v>República Checa</v>
      </c>
      <c r="H354" s="9" t="str">
        <f ca="1">+WORLDCUP!BD63</f>
        <v>Túnez</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República Checa</v>
      </c>
      <c r="H355" s="9" t="str">
        <f ca="1">+WORLDCUP!BD63</f>
        <v>Túnez</v>
      </c>
      <c r="I355" s="9" t="str">
        <f ca="1">+WORLDCUP!BD69</f>
        <v>Panamá</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Estados Unidos</v>
      </c>
      <c r="G356" s="9" t="str">
        <f ca="1">+WORLDCUP!BD58</f>
        <v>República Checa</v>
      </c>
      <c r="H356" s="9" t="str">
        <f ca="1">+WORLDCUP!BD63</f>
        <v>Túnez</v>
      </c>
      <c r="I356" s="9" t="str">
        <f ca="1">+WORLDCUP!BD69</f>
        <v>Panamá</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Estados Unidos</v>
      </c>
      <c r="G357" s="9" t="str">
        <f ca="1">+WORLDCUP!BD58</f>
        <v>República Checa</v>
      </c>
      <c r="H357" s="9" t="str">
        <f ca="1">+WORLDCUP!BD63</f>
        <v>Túnez</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República Checa</v>
      </c>
      <c r="H358" s="9" t="str">
        <f ca="1">+WORLDCUP!BD63</f>
        <v>Túnez</v>
      </c>
      <c r="I358" s="9" t="str">
        <f ca="1">+WORLDCUP!BD69</f>
        <v>Panamá</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República Checa</v>
      </c>
      <c r="H359" s="9" t="str">
        <f ca="1">+WORLDCUP!BD63</f>
        <v>Túnez</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Estados Unidos</v>
      </c>
      <c r="G360" s="9" t="str">
        <f ca="1">+WORLDCUP!BD58</f>
        <v>República Checa</v>
      </c>
      <c r="H360" s="9" t="str">
        <f ca="1">+WORLDCUP!BD63</f>
        <v>Túnez</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Egipto</v>
      </c>
      <c r="E361" s="9" t="str">
        <f ca="1">+WORLDCUP!BD59</f>
        <v>Bosnia y Herzegovina</v>
      </c>
      <c r="F361" s="9" t="str">
        <f ca="1">+WORLDCUP!BD61</f>
        <v>Estados Unidos</v>
      </c>
      <c r="G361" s="9" t="str">
        <f ca="1">+WORLDCUP!BD58</f>
        <v>República Checa</v>
      </c>
      <c r="H361" s="9" t="str">
        <f ca="1">+WORLDCUP!BD63</f>
        <v>Túnez</v>
      </c>
      <c r="I361" s="9" t="str">
        <f ca="1">+WORLDCUP!BD69</f>
        <v>Panamá</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Egipto</v>
      </c>
      <c r="E362" s="9" t="str">
        <f ca="1">+WORLDCUP!BD59</f>
        <v>Bosnia y Herzegovina</v>
      </c>
      <c r="F362" s="9" t="str">
        <f ca="1">+WORLDCUP!BD61</f>
        <v>Estados Unidos</v>
      </c>
      <c r="G362" s="9" t="str">
        <f ca="1">+WORLDCUP!BD58</f>
        <v>República Checa</v>
      </c>
      <c r="H362" s="9" t="str">
        <f ca="1">+WORLDCUP!BD63</f>
        <v>Túnez</v>
      </c>
      <c r="I362" s="9" t="str">
        <f ca="1">+WORLDCUP!BD69</f>
        <v>Panamá</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Egipto</v>
      </c>
      <c r="E363" s="9" t="str">
        <f ca="1">+WORLDCUP!BD59</f>
        <v>Bosnia y Herzegovina</v>
      </c>
      <c r="F363" s="9" t="str">
        <f ca="1">+WORLDCUP!BD61</f>
        <v>Estados Unidos</v>
      </c>
      <c r="G363" s="9" t="str">
        <f ca="1">+WORLDCUP!BD58</f>
        <v>República Checa</v>
      </c>
      <c r="H363" s="9" t="str">
        <f ca="1">+WORLDCUP!BD63</f>
        <v>Túnez</v>
      </c>
      <c r="I363" s="9" t="str">
        <f ca="1">+WORLDCUP!BD67</f>
        <v>Argelia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Egipto</v>
      </c>
      <c r="E364" s="9" t="str">
        <f ca="1">+WORLDCUP!BD59</f>
        <v>Bosnia y Herzegovina</v>
      </c>
      <c r="F364" s="9" t="str">
        <f ca="1">+WORLDCUP!BD61</f>
        <v>Estados Unidos</v>
      </c>
      <c r="G364" s="9" t="str">
        <f ca="1">+WORLDCUP!BD58</f>
        <v>República Checa</v>
      </c>
      <c r="H364" s="9" t="str">
        <f ca="1">+WORLDCUP!BD63</f>
        <v>Túnez</v>
      </c>
      <c r="I364" s="9" t="str">
        <f ca="1">+WORLDCUP!BD69</f>
        <v>Panamá</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Egipto</v>
      </c>
      <c r="E365" s="9" t="str">
        <f ca="1">+WORLDCUP!BD59</f>
        <v>Bosnia y Herzegovina</v>
      </c>
      <c r="F365" s="9" t="str">
        <f ca="1">+WORLDCUP!BD61</f>
        <v>Estados Unidos</v>
      </c>
      <c r="G365" s="9" t="str">
        <f ca="1">+WORLDCUP!BD58</f>
        <v>República Checa</v>
      </c>
      <c r="H365" s="9" t="str">
        <f ca="1">+WORLDCUP!BD63</f>
        <v>Túnez</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Egipto</v>
      </c>
      <c r="E366" s="9" t="str">
        <f ca="1">+WORLDCUP!BD59</f>
        <v>Bosnia y Herzegovina</v>
      </c>
      <c r="F366" s="9" t="str">
        <f ca="1">+WORLDCUP!BD61</f>
        <v>Estados Unidos</v>
      </c>
      <c r="G366" s="9" t="str">
        <f ca="1">+WORLDCUP!BD58</f>
        <v>República Checa</v>
      </c>
      <c r="H366" s="9" t="str">
        <f ca="1">+WORLDCUP!BD63</f>
        <v>Túnez</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Egipto</v>
      </c>
      <c r="E367" s="9" t="str">
        <f ca="1">+WORLDCUP!BD59</f>
        <v>Bosnia y Herzegovina</v>
      </c>
      <c r="F367" s="9" t="str">
        <f ca="1">+WORLDCUP!BD61</f>
        <v>Estados Unidos</v>
      </c>
      <c r="G367" s="9" t="str">
        <f ca="1">+WORLDCUP!BD58</f>
        <v>República Checa</v>
      </c>
      <c r="H367" s="9" t="str">
        <f ca="1">+WORLDCUP!BD63</f>
        <v>Túnez</v>
      </c>
      <c r="I367" s="9" t="str">
        <f ca="1">+WORLDCUP!BD69</f>
        <v>Panamá</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Egipto</v>
      </c>
      <c r="E368" s="9" t="str">
        <f ca="1">+WORLDCUP!BD59</f>
        <v>Bosnia y Herzegovina</v>
      </c>
      <c r="F368" s="9" t="str">
        <f ca="1">+WORLDCUP!BD61</f>
        <v>Estados Unidos</v>
      </c>
      <c r="G368" s="9" t="str">
        <f ca="1">+WORLDCUP!BD58</f>
        <v>República Checa</v>
      </c>
      <c r="H368" s="9" t="str">
        <f ca="1">+WORLDCUP!BD63</f>
        <v>Túnez</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Egipto</v>
      </c>
      <c r="E369" s="9" t="str">
        <f ca="1">+WORLDCUP!BD59</f>
        <v>Bosnia y Herzegovina</v>
      </c>
      <c r="F369" s="9" t="str">
        <f ca="1">+WORLDCUP!BD61</f>
        <v>Estados Unidos</v>
      </c>
      <c r="G369" s="9" t="str">
        <f ca="1">+WORLDCUP!BD58</f>
        <v>República Checa</v>
      </c>
      <c r="H369" s="9" t="str">
        <f ca="1">+WORLDCUP!BD63</f>
        <v>Túnez</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Egipto</v>
      </c>
      <c r="E370" s="9" t="str">
        <f ca="1">+WORLDCUP!BD59</f>
        <v>Bosnia y Herzegovina</v>
      </c>
      <c r="F370" s="9" t="str">
        <f ca="1">+WORLDCUP!BD61</f>
        <v>Estados Unidos</v>
      </c>
      <c r="G370" s="9" t="str">
        <f ca="1">+WORLDCUP!BD58</f>
        <v>República Checa</v>
      </c>
      <c r="H370" s="9" t="str">
        <f ca="1">+WORLDCUP!BD63</f>
        <v>Túnez</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Haití</v>
      </c>
      <c r="G371" s="9" t="str">
        <f ca="1">+WORLDCUP!BD58</f>
        <v>República Checa</v>
      </c>
      <c r="H371" s="9" t="str">
        <f ca="1">+WORLDCUP!BD65</f>
        <v>Arabia Saudita</v>
      </c>
      <c r="I371" s="9" t="str">
        <f ca="1">+WORLDCUP!BD69</f>
        <v>Panamá</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Haití</v>
      </c>
      <c r="G372" s="9" t="str">
        <f ca="1">+WORLDCUP!BD58</f>
        <v>República Checa</v>
      </c>
      <c r="H372" s="9" t="str">
        <f ca="1">+WORLDCUP!BD64</f>
        <v>Egipto</v>
      </c>
      <c r="I372" s="9" t="str">
        <f ca="1">+WORLDCUP!BD69</f>
        <v>Panamá</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Haití</v>
      </c>
      <c r="G373" s="9" t="str">
        <f ca="1">+WORLDCUP!BD58</f>
        <v>República Checa</v>
      </c>
      <c r="H373" s="9" t="str">
        <f ca="1">+WORLDCUP!BD64</f>
        <v>Egipto</v>
      </c>
      <c r="I373" s="9" t="str">
        <f ca="1">+WORLDCUP!BD69</f>
        <v>Panamá</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Egipto</v>
      </c>
      <c r="E374" s="9" t="str">
        <f ca="1">+WORLDCUP!BD59</f>
        <v>Bosnia y Herzegovina</v>
      </c>
      <c r="F374" s="9" t="str">
        <f ca="1">+WORLDCUP!BD60</f>
        <v>Haití</v>
      </c>
      <c r="G374" s="9" t="str">
        <f ca="1">+WORLDCUP!BD58</f>
        <v>República Checa</v>
      </c>
      <c r="H374" s="9" t="str">
        <f ca="1">+WORLDCUP!BD65</f>
        <v>Arabia Saudita</v>
      </c>
      <c r="I374" s="9" t="str">
        <f ca="1">+WORLDCUP!BD69</f>
        <v>Panamá</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Haití</v>
      </c>
      <c r="G375" s="9" t="str">
        <f ca="1">+WORLDCUP!BD58</f>
        <v>República Checa</v>
      </c>
      <c r="H375" s="9" t="str">
        <f ca="1">+WORLDCUP!BD64</f>
        <v>Egipto</v>
      </c>
      <c r="I375" s="9" t="str">
        <f ca="1">+WORLDCUP!BD69</f>
        <v>Panamá</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Haití</v>
      </c>
      <c r="G376" s="9" t="str">
        <f ca="1">+WORLDCUP!BD58</f>
        <v>República Checa</v>
      </c>
      <c r="H376" s="9" t="str">
        <f ca="1">+WORLDCUP!BD64</f>
        <v>Egipto</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Haití</v>
      </c>
      <c r="G377" s="9" t="str">
        <f ca="1">+WORLDCUP!BD58</f>
        <v>República Checa</v>
      </c>
      <c r="H377" s="9" t="str">
        <f ca="1">+WORLDCUP!BD63</f>
        <v>Túnez</v>
      </c>
      <c r="I377" s="9" t="str">
        <f ca="1">+WORLDCUP!BD69</f>
        <v>Panamá</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Haití</v>
      </c>
      <c r="G378" s="9" t="str">
        <f ca="1">+WORLDCUP!BD58</f>
        <v>República Checa</v>
      </c>
      <c r="H378" s="9" t="str">
        <f ca="1">+WORLDCUP!BD63</f>
        <v>Túnez</v>
      </c>
      <c r="I378" s="9" t="str">
        <f ca="1">+WORLDCUP!BD69</f>
        <v>Panamá</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Haití</v>
      </c>
      <c r="G379" s="9" t="str">
        <f ca="1">+WORLDCUP!BD58</f>
        <v>República Checa</v>
      </c>
      <c r="H379" s="9" t="str">
        <f ca="1">+WORLDCUP!BD63</f>
        <v>Túnez</v>
      </c>
      <c r="I379" s="9" t="str">
        <f ca="1">+WORLDCUP!BD69</f>
        <v>Panamá</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Haití</v>
      </c>
      <c r="G380" s="9" t="str">
        <f ca="1">+WORLDCUP!BD58</f>
        <v>República Checa</v>
      </c>
      <c r="H380" s="9" t="str">
        <f ca="1">+WORLDCUP!BD63</f>
        <v>Túnez</v>
      </c>
      <c r="I380" s="9" t="str">
        <f ca="1">+WORLDCUP!BD69</f>
        <v>Panamá</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Haití</v>
      </c>
      <c r="G381" s="9" t="str">
        <f ca="1">+WORLDCUP!BD58</f>
        <v>República Checa</v>
      </c>
      <c r="H381" s="9" t="str">
        <f ca="1">+WORLDCUP!BD63</f>
        <v>Túnez</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Haití</v>
      </c>
      <c r="D382" s="9" t="str">
        <f ca="1">+WORLDCUP!BD67</f>
        <v>Argelia</v>
      </c>
      <c r="E382" s="9" t="str">
        <f ca="1">+WORLDCUP!BD59</f>
        <v>Bosnia y Herzegovina</v>
      </c>
      <c r="F382" s="9" t="str">
        <f ca="1">+WORLDCUP!BD63</f>
        <v>Túnez</v>
      </c>
      <c r="G382" s="9" t="str">
        <f ca="1">+WORLDCUP!BD58</f>
        <v>República Checa</v>
      </c>
      <c r="H382" s="9" t="str">
        <f ca="1">+WORLDCUP!BD64</f>
        <v>Egipto</v>
      </c>
      <c r="I382" s="9" t="str">
        <f ca="1">+WORLDCUP!BD69</f>
        <v>Panamá</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Egipto</v>
      </c>
      <c r="E383" s="9" t="str">
        <f ca="1">+WORLDCUP!BD59</f>
        <v>Bosnia y Herzegovina</v>
      </c>
      <c r="F383" s="9" t="str">
        <f ca="1">+WORLDCUP!BD60</f>
        <v>Haití</v>
      </c>
      <c r="G383" s="9" t="str">
        <f ca="1">+WORLDCUP!BD58</f>
        <v>República Checa</v>
      </c>
      <c r="H383" s="9" t="str">
        <f ca="1">+WORLDCUP!BD63</f>
        <v>Túnez</v>
      </c>
      <c r="I383" s="9" t="str">
        <f ca="1">+WORLDCUP!BD69</f>
        <v>Panamá</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Haití</v>
      </c>
      <c r="D384" s="9" t="str">
        <f ca="1">+WORLDCUP!BD67</f>
        <v>Argelia</v>
      </c>
      <c r="E384" s="9" t="str">
        <f ca="1">+WORLDCUP!BD59</f>
        <v>Bosnia y Herzegovina</v>
      </c>
      <c r="F384" s="9" t="str">
        <f ca="1">+WORLDCUP!BD63</f>
        <v>Túnez</v>
      </c>
      <c r="G384" s="9" t="str">
        <f ca="1">+WORLDCUP!BD58</f>
        <v>República Checa</v>
      </c>
      <c r="H384" s="9" t="str">
        <f ca="1">+WORLDCUP!BD64</f>
        <v>Egipto</v>
      </c>
      <c r="I384" s="9" t="str">
        <f ca="1">+WORLDCUP!BD69</f>
        <v>Panamá</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Haití</v>
      </c>
      <c r="D385" s="9" t="str">
        <f ca="1">+WORLDCUP!BD67</f>
        <v>Argelia</v>
      </c>
      <c r="E385" s="9" t="str">
        <f ca="1">+WORLDCUP!BD59</f>
        <v>Bosnia y Herzegovina</v>
      </c>
      <c r="F385" s="9" t="str">
        <f ca="1">+WORLDCUP!BD63</f>
        <v>Túnez</v>
      </c>
      <c r="G385" s="9" t="str">
        <f ca="1">+WORLDCUP!BD58</f>
        <v>República Checa</v>
      </c>
      <c r="H385" s="9" t="str">
        <f ca="1">+WORLDCUP!BD64</f>
        <v>Egipto</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Egipto</v>
      </c>
      <c r="E386" s="9" t="str">
        <f ca="1">+WORLDCUP!BD59</f>
        <v>Bosnia y Herzegovina</v>
      </c>
      <c r="F386" s="9" t="str">
        <f ca="1">+WORLDCUP!BD60</f>
        <v>Haití</v>
      </c>
      <c r="G386" s="9" t="str">
        <f ca="1">+WORLDCUP!BD58</f>
        <v>República Checa</v>
      </c>
      <c r="H386" s="9" t="str">
        <f ca="1">+WORLDCUP!BD63</f>
        <v>Túnez</v>
      </c>
      <c r="I386" s="9" t="str">
        <f ca="1">+WORLDCUP!BD69</f>
        <v>Panamá</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Egipto</v>
      </c>
      <c r="E387" s="9" t="str">
        <f ca="1">+WORLDCUP!BD59</f>
        <v>Bosnia y Herzegovina</v>
      </c>
      <c r="F387" s="9" t="str">
        <f ca="1">+WORLDCUP!BD60</f>
        <v>Haití</v>
      </c>
      <c r="G387" s="9" t="str">
        <f ca="1">+WORLDCUP!BD58</f>
        <v>República Checa</v>
      </c>
      <c r="H387" s="9" t="str">
        <f ca="1">+WORLDCUP!BD63</f>
        <v>Túnez</v>
      </c>
      <c r="I387" s="9" t="str">
        <f ca="1">+WORLDCUP!BD69</f>
        <v>Panamá</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Egipto</v>
      </c>
      <c r="E388" s="9" t="str">
        <f ca="1">+WORLDCUP!BD59</f>
        <v>Bosnia y Herzegovina</v>
      </c>
      <c r="F388" s="9" t="str">
        <f ca="1">+WORLDCUP!BD60</f>
        <v>Haití</v>
      </c>
      <c r="G388" s="9" t="str">
        <f ca="1">+WORLDCUP!BD58</f>
        <v>República Checa</v>
      </c>
      <c r="H388" s="9" t="str">
        <f ca="1">+WORLDCUP!BD63</f>
        <v>Túnez</v>
      </c>
      <c r="I388" s="9" t="str">
        <f ca="1">+WORLDCUP!BD67</f>
        <v>Argelia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Egipto</v>
      </c>
      <c r="E389" s="9" t="str">
        <f ca="1">+WORLDCUP!BD59</f>
        <v>Bosnia y Herzegovina</v>
      </c>
      <c r="F389" s="9" t="str">
        <f ca="1">+WORLDCUP!BD60</f>
        <v>Haití</v>
      </c>
      <c r="G389" s="9" t="str">
        <f ca="1">+WORLDCUP!BD58</f>
        <v>República Checa</v>
      </c>
      <c r="H389" s="9" t="str">
        <f ca="1">+WORLDCUP!BD63</f>
        <v>Túnez</v>
      </c>
      <c r="I389" s="9" t="str">
        <f ca="1">+WORLDCUP!BD69</f>
        <v>Panamá</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Egipto</v>
      </c>
      <c r="E390" s="9" t="str">
        <f ca="1">+WORLDCUP!BD59</f>
        <v>Bosnia y Herzegovina</v>
      </c>
      <c r="F390" s="9" t="str">
        <f ca="1">+WORLDCUP!BD60</f>
        <v>Haití</v>
      </c>
      <c r="G390" s="9" t="str">
        <f ca="1">+WORLDCUP!BD58</f>
        <v>República Checa</v>
      </c>
      <c r="H390" s="9" t="str">
        <f ca="1">+WORLDCUP!BD63</f>
        <v>Túnez</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Egipto</v>
      </c>
      <c r="E391" s="9" t="str">
        <f ca="1">+WORLDCUP!BD59</f>
        <v>Bosnia y Herzegovina</v>
      </c>
      <c r="F391" s="9" t="str">
        <f ca="1">+WORLDCUP!BD60</f>
        <v>Haití</v>
      </c>
      <c r="G391" s="9" t="str">
        <f ca="1">+WORLDCUP!BD58</f>
        <v>República Checa</v>
      </c>
      <c r="H391" s="9" t="str">
        <f ca="1">+WORLDCUP!BD63</f>
        <v>Túnez</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Haití</v>
      </c>
      <c r="I392" s="9" t="str">
        <f ca="1">+WORLDCUP!BD69</f>
        <v>Panamá</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Haití</v>
      </c>
      <c r="G393" s="9" t="str">
        <f ca="1">+WORLDCUP!BD58</f>
        <v>República Checa</v>
      </c>
      <c r="H393" s="9" t="str">
        <f ca="1">+WORLDCUP!BD65</f>
        <v>Arabia Saudita</v>
      </c>
      <c r="I393" s="9" t="str">
        <f ca="1">+WORLDCUP!BD69</f>
        <v>Panamá</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Haití</v>
      </c>
      <c r="G394" s="9" t="str">
        <f ca="1">+WORLDCUP!BD58</f>
        <v>República Checa</v>
      </c>
      <c r="H394" s="9" t="str">
        <f ca="1">+WORLDCUP!BD65</f>
        <v>Arabia Saudita</v>
      </c>
      <c r="I394" s="9" t="str">
        <f ca="1">+WORLDCUP!BD69</f>
        <v>Panamá</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Haití</v>
      </c>
      <c r="G395" s="9" t="str">
        <f ca="1">+WORLDCUP!BD58</f>
        <v>República Checa</v>
      </c>
      <c r="H395" s="9" t="str">
        <f ca="1">+WORLDCUP!BD65</f>
        <v>Arabia Saudita</v>
      </c>
      <c r="I395" s="9" t="str">
        <f ca="1">+WORLDCUP!BD69</f>
        <v>Panamá</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Haití</v>
      </c>
      <c r="G396" s="9" t="str">
        <f ca="1">+WORLDCUP!BD58</f>
        <v>República Checa</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Haití</v>
      </c>
      <c r="G397" s="9" t="str">
        <f ca="1">+WORLDCUP!BD58</f>
        <v>República Checa</v>
      </c>
      <c r="H397" s="9" t="str">
        <f ca="1">+WORLDCUP!BD64</f>
        <v>Egipto</v>
      </c>
      <c r="I397" s="9" t="str">
        <f ca="1">+WORLDCUP!BD69</f>
        <v>Panamá</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Egipto</v>
      </c>
      <c r="E398" s="9" t="str">
        <f ca="1">+WORLDCUP!BD59</f>
        <v>Bosnia y Herzegovina</v>
      </c>
      <c r="F398" s="9" t="str">
        <f ca="1">+WORLDCUP!BD58</f>
        <v>República Checa</v>
      </c>
      <c r="G398" s="9" t="str">
        <f ca="1">+WORLDCUP!BD66</f>
        <v>Senegal</v>
      </c>
      <c r="H398" s="9" t="str">
        <f ca="1">+WORLDCUP!BD60</f>
        <v>Haití</v>
      </c>
      <c r="I398" s="9" t="str">
        <f ca="1">+WORLDCUP!BD69</f>
        <v>Panamá</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Haití</v>
      </c>
      <c r="G399" s="9" t="str">
        <f ca="1">+WORLDCUP!BD58</f>
        <v>República Checa</v>
      </c>
      <c r="H399" s="9" t="str">
        <f ca="1">+WORLDCUP!BD64</f>
        <v>Egipto</v>
      </c>
      <c r="I399" s="9" t="str">
        <f ca="1">+WORLDCUP!BD69</f>
        <v>Panamá</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Haití</v>
      </c>
      <c r="G400" s="9" t="str">
        <f ca="1">+WORLDCUP!BD58</f>
        <v>República Checa</v>
      </c>
      <c r="H400" s="9" t="str">
        <f ca="1">+WORLDCUP!BD64</f>
        <v>Egipto</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Egipto</v>
      </c>
      <c r="E401" s="9" t="str">
        <f ca="1">+WORLDCUP!BD59</f>
        <v>Bosnia y Herzegovina</v>
      </c>
      <c r="F401" s="9" t="str">
        <f ca="1">+WORLDCUP!BD60</f>
        <v>Haití</v>
      </c>
      <c r="G401" s="9" t="str">
        <f ca="1">+WORLDCUP!BD58</f>
        <v>República Checa</v>
      </c>
      <c r="H401" s="9" t="str">
        <f ca="1">+WORLDCUP!BD65</f>
        <v>Arabia Saudita</v>
      </c>
      <c r="I401" s="9" t="str">
        <f ca="1">+WORLDCUP!BD69</f>
        <v>Panamá</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Haití</v>
      </c>
      <c r="G402" s="9" t="str">
        <f ca="1">+WORLDCUP!BD58</f>
        <v>República Checa</v>
      </c>
      <c r="H402" s="9" t="str">
        <f ca="1">+WORLDCUP!BD64</f>
        <v>Egipto</v>
      </c>
      <c r="I402" s="9" t="str">
        <f ca="1">+WORLDCUP!BD69</f>
        <v>Panamá</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Haití</v>
      </c>
      <c r="G403" s="9" t="str">
        <f ca="1">+WORLDCUP!BD58</f>
        <v>República Checa</v>
      </c>
      <c r="H403" s="9" t="str">
        <f ca="1">+WORLDCUP!BD64</f>
        <v>Egipto</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Egipto</v>
      </c>
      <c r="E404" s="9" t="str">
        <f ca="1">+WORLDCUP!BD59</f>
        <v>Bosnia y Herzegovina</v>
      </c>
      <c r="F404" s="9" t="str">
        <f ca="1">+WORLDCUP!BD60</f>
        <v>Haití</v>
      </c>
      <c r="G404" s="9" t="str">
        <f ca="1">+WORLDCUP!BD58</f>
        <v>República Checa</v>
      </c>
      <c r="H404" s="9" t="str">
        <f ca="1">+WORLDCUP!BD65</f>
        <v>Arabia Saudita</v>
      </c>
      <c r="I404" s="9" t="str">
        <f ca="1">+WORLDCUP!BD69</f>
        <v>Panamá</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Egipto</v>
      </c>
      <c r="E405" s="9" t="str">
        <f ca="1">+WORLDCUP!BD59</f>
        <v>Bosnia y Herzegovina</v>
      </c>
      <c r="F405" s="9" t="str">
        <f ca="1">+WORLDCUP!BD60</f>
        <v>Haití</v>
      </c>
      <c r="G405" s="9" t="str">
        <f ca="1">+WORLDCUP!BD58</f>
        <v>República Checa</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Haití</v>
      </c>
      <c r="G406" s="9" t="str">
        <f ca="1">+WORLDCUP!BD58</f>
        <v>República Checa</v>
      </c>
      <c r="H406" s="9" t="str">
        <f ca="1">+WORLDCUP!BD64</f>
        <v>Egipto</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Haití</v>
      </c>
      <c r="G407" s="9" t="str">
        <f ca="1">+WORLDCUP!BD58</f>
        <v>República Checa</v>
      </c>
      <c r="H407" s="9" t="str">
        <f ca="1">+WORLDCUP!BD63</f>
        <v>Túnez</v>
      </c>
      <c r="I407" s="9" t="str">
        <f ca="1">+WORLDCUP!BD69</f>
        <v>Panamá</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Haití</v>
      </c>
      <c r="G408" s="9" t="str">
        <f ca="1">+WORLDCUP!BD58</f>
        <v>República Checa</v>
      </c>
      <c r="H408" s="9" t="str">
        <f ca="1">+WORLDCUP!BD63</f>
        <v>Túnez</v>
      </c>
      <c r="I408" s="9" t="str">
        <f ca="1">+WORLDCUP!BD69</f>
        <v>Panamá</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Haití</v>
      </c>
      <c r="G409" s="9" t="str">
        <f ca="1">+WORLDCUP!BD58</f>
        <v>República Checa</v>
      </c>
      <c r="H409" s="9" t="str">
        <f ca="1">+WORLDCUP!BD63</f>
        <v>Túnez</v>
      </c>
      <c r="I409" s="9" t="str">
        <f ca="1">+WORLDCUP!BD69</f>
        <v>Panamá</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Haití</v>
      </c>
      <c r="G410" s="9" t="str">
        <f ca="1">+WORLDCUP!BD58</f>
        <v>República Checa</v>
      </c>
      <c r="H410" s="9" t="str">
        <f ca="1">+WORLDCUP!BD63</f>
        <v>Túnez</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Haití</v>
      </c>
      <c r="G411" s="9" t="str">
        <f ca="1">+WORLDCUP!BD58</f>
        <v>República Checa</v>
      </c>
      <c r="H411" s="9" t="str">
        <f ca="1">+WORLDCUP!BD63</f>
        <v>Túnez</v>
      </c>
      <c r="I411" s="9" t="str">
        <f ca="1">+WORLDCUP!BD69</f>
        <v>Panamá</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Haití</v>
      </c>
      <c r="G412" s="9" t="str">
        <f ca="1">+WORLDCUP!BD58</f>
        <v>República Checa</v>
      </c>
      <c r="H412" s="9" t="str">
        <f ca="1">+WORLDCUP!BD63</f>
        <v>Túnez</v>
      </c>
      <c r="I412" s="9" t="str">
        <f ca="1">+WORLDCUP!BD69</f>
        <v>Panamá</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Haití</v>
      </c>
      <c r="G413" s="9" t="str">
        <f ca="1">+WORLDCUP!BD58</f>
        <v>República Checa</v>
      </c>
      <c r="H413" s="9" t="str">
        <f ca="1">+WORLDCUP!BD63</f>
        <v>Túnez</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Haití</v>
      </c>
      <c r="G414" s="9" t="str">
        <f ca="1">+WORLDCUP!BD58</f>
        <v>República Checa</v>
      </c>
      <c r="H414" s="9" t="str">
        <f ca="1">+WORLDCUP!BD63</f>
        <v>Túnez</v>
      </c>
      <c r="I414" s="9" t="str">
        <f ca="1">+WORLDCUP!BD69</f>
        <v>Panamá</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Haití</v>
      </c>
      <c r="G415" s="9" t="str">
        <f ca="1">+WORLDCUP!BD58</f>
        <v>República Checa</v>
      </c>
      <c r="H415" s="9" t="str">
        <f ca="1">+WORLDCUP!BD63</f>
        <v>Túnez</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Haití</v>
      </c>
      <c r="G416" s="9" t="str">
        <f ca="1">+WORLDCUP!BD58</f>
        <v>República Checa</v>
      </c>
      <c r="H416" s="9" t="str">
        <f ca="1">+WORLDCUP!BD63</f>
        <v>Túnez</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Egipto</v>
      </c>
      <c r="E417" s="9" t="str">
        <f ca="1">+WORLDCUP!BD59</f>
        <v>Bosnia y Herzegovina</v>
      </c>
      <c r="F417" s="9" t="str">
        <f ca="1">+WORLDCUP!BD60</f>
        <v>Haití</v>
      </c>
      <c r="G417" s="9" t="str">
        <f ca="1">+WORLDCUP!BD58</f>
        <v>República Checa</v>
      </c>
      <c r="H417" s="9" t="str">
        <f ca="1">+WORLDCUP!BD63</f>
        <v>Túnez</v>
      </c>
      <c r="I417" s="9" t="str">
        <f ca="1">+WORLDCUP!BD69</f>
        <v>Panamá</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Egipto</v>
      </c>
      <c r="E418" s="9" t="str">
        <f ca="1">+WORLDCUP!BD59</f>
        <v>Bosnia y Herzegovina</v>
      </c>
      <c r="F418" s="9" t="str">
        <f ca="1">+WORLDCUP!BD60</f>
        <v>Haití</v>
      </c>
      <c r="G418" s="9" t="str">
        <f ca="1">+WORLDCUP!BD58</f>
        <v>República Checa</v>
      </c>
      <c r="H418" s="9" t="str">
        <f ca="1">+WORLDCUP!BD63</f>
        <v>Túnez</v>
      </c>
      <c r="I418" s="9" t="str">
        <f ca="1">+WORLDCUP!BD69</f>
        <v>Panamá</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Egipto</v>
      </c>
      <c r="E419" s="9" t="str">
        <f ca="1">+WORLDCUP!BD59</f>
        <v>Bosnia y Herzegovina</v>
      </c>
      <c r="F419" s="9" t="str">
        <f ca="1">+WORLDCUP!BD60</f>
        <v>Haití</v>
      </c>
      <c r="G419" s="9" t="str">
        <f ca="1">+WORLDCUP!BD58</f>
        <v>República Checa</v>
      </c>
      <c r="H419" s="9" t="str">
        <f ca="1">+WORLDCUP!BD63</f>
        <v>Túnez</v>
      </c>
      <c r="I419" s="9" t="str">
        <f ca="1">+WORLDCUP!BD67</f>
        <v>Argelia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Egipto</v>
      </c>
      <c r="E420" s="9" t="str">
        <f ca="1">+WORLDCUP!BD59</f>
        <v>Bosnia y Herzegovina</v>
      </c>
      <c r="F420" s="9" t="str">
        <f ca="1">+WORLDCUP!BD60</f>
        <v>Haití</v>
      </c>
      <c r="G420" s="9" t="str">
        <f ca="1">+WORLDCUP!BD58</f>
        <v>República Checa</v>
      </c>
      <c r="H420" s="9" t="str">
        <f ca="1">+WORLDCUP!BD63</f>
        <v>Túnez</v>
      </c>
      <c r="I420" s="9" t="str">
        <f ca="1">+WORLDCUP!BD69</f>
        <v>Panamá</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Egipto</v>
      </c>
      <c r="E421" s="9" t="str">
        <f ca="1">+WORLDCUP!BD59</f>
        <v>Bosnia y Herzegovina</v>
      </c>
      <c r="F421" s="9" t="str">
        <f ca="1">+WORLDCUP!BD60</f>
        <v>Haití</v>
      </c>
      <c r="G421" s="9" t="str">
        <f ca="1">+WORLDCUP!BD58</f>
        <v>República Checa</v>
      </c>
      <c r="H421" s="9" t="str">
        <f ca="1">+WORLDCUP!BD63</f>
        <v>Túnez</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Egipto</v>
      </c>
      <c r="E422" s="9" t="str">
        <f ca="1">+WORLDCUP!BD59</f>
        <v>Bosnia y Herzegovina</v>
      </c>
      <c r="F422" s="9" t="str">
        <f ca="1">+WORLDCUP!BD60</f>
        <v>Haití</v>
      </c>
      <c r="G422" s="9" t="str">
        <f ca="1">+WORLDCUP!BD58</f>
        <v>República Checa</v>
      </c>
      <c r="H422" s="9" t="str">
        <f ca="1">+WORLDCUP!BD63</f>
        <v>Túnez</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Egipto</v>
      </c>
      <c r="E423" s="9" t="str">
        <f ca="1">+WORLDCUP!BD59</f>
        <v>Bosnia y Herzegovina</v>
      </c>
      <c r="F423" s="9" t="str">
        <f ca="1">+WORLDCUP!BD60</f>
        <v>Haití</v>
      </c>
      <c r="G423" s="9" t="str">
        <f ca="1">+WORLDCUP!BD58</f>
        <v>República Checa</v>
      </c>
      <c r="H423" s="9" t="str">
        <f ca="1">+WORLDCUP!BD63</f>
        <v>Túnez</v>
      </c>
      <c r="I423" s="9" t="str">
        <f ca="1">+WORLDCUP!BD69</f>
        <v>Panamá</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Egipto</v>
      </c>
      <c r="E424" s="9" t="str">
        <f ca="1">+WORLDCUP!BD59</f>
        <v>Bosnia y Herzegovina</v>
      </c>
      <c r="F424" s="9" t="str">
        <f ca="1">+WORLDCUP!BD60</f>
        <v>Haití</v>
      </c>
      <c r="G424" s="9" t="str">
        <f ca="1">+WORLDCUP!BD58</f>
        <v>República Checa</v>
      </c>
      <c r="H424" s="9" t="str">
        <f ca="1">+WORLDCUP!BD63</f>
        <v>Túnez</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Egipto</v>
      </c>
      <c r="E425" s="9" t="str">
        <f ca="1">+WORLDCUP!BD59</f>
        <v>Bosnia y Herzegovina</v>
      </c>
      <c r="F425" s="9" t="str">
        <f ca="1">+WORLDCUP!BD60</f>
        <v>Haití</v>
      </c>
      <c r="G425" s="9" t="str">
        <f ca="1">+WORLDCUP!BD58</f>
        <v>República Checa</v>
      </c>
      <c r="H425" s="9" t="str">
        <f ca="1">+WORLDCUP!BD63</f>
        <v>Túnez</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Egipto</v>
      </c>
      <c r="E426" s="9" t="str">
        <f ca="1">+WORLDCUP!BD59</f>
        <v>Bosnia y Herzegovina</v>
      </c>
      <c r="F426" s="9" t="str">
        <f ca="1">+WORLDCUP!BD60</f>
        <v>Haití</v>
      </c>
      <c r="G426" s="9" t="str">
        <f ca="1">+WORLDCUP!BD58</f>
        <v>República Checa</v>
      </c>
      <c r="H426" s="9" t="str">
        <f ca="1">+WORLDCUP!BD63</f>
        <v>Túnez</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Haití</v>
      </c>
      <c r="G427" s="9" t="str">
        <f ca="1">+WORLDCUP!BD58</f>
        <v>República Checa</v>
      </c>
      <c r="H427" s="9" t="str">
        <f ca="1">+WORLDCUP!BD61</f>
        <v>Estados Unidos</v>
      </c>
      <c r="I427" s="9" t="str">
        <f ca="1">+WORLDCUP!BD69</f>
        <v>Panamá</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Haití</v>
      </c>
      <c r="G428" s="9" t="str">
        <f ca="1">+WORLDCUP!BD58</f>
        <v>República Checa</v>
      </c>
      <c r="H428" s="9" t="str">
        <f ca="1">+WORLDCUP!BD61</f>
        <v>Estados Unidos</v>
      </c>
      <c r="I428" s="9" t="str">
        <f ca="1">+WORLDCUP!BD69</f>
        <v>Panamá</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Haití</v>
      </c>
      <c r="G429" s="9" t="str">
        <f ca="1">+WORLDCUP!BD58</f>
        <v>República Checa</v>
      </c>
      <c r="H429" s="9" t="str">
        <f ca="1">+WORLDCUP!BD61</f>
        <v>Estados Unidos</v>
      </c>
      <c r="I429" s="9" t="str">
        <f ca="1">+WORLDCUP!BD69</f>
        <v>Panamá</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Haití</v>
      </c>
      <c r="G430" s="9" t="str">
        <f ca="1">+WORLDCUP!BD58</f>
        <v>República Checa</v>
      </c>
      <c r="H430" s="9" t="str">
        <f ca="1">+WORLDCUP!BD61</f>
        <v>Estados Unidos</v>
      </c>
      <c r="I430" s="9" t="str">
        <f ca="1">+WORLDCUP!BD69</f>
        <v>Panamá</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Haití</v>
      </c>
      <c r="G431" s="9" t="str">
        <f ca="1">+WORLDCUP!BD58</f>
        <v>República Checa</v>
      </c>
      <c r="H431" s="9" t="str">
        <f ca="1">+WORLDCUP!BD61</f>
        <v>Estados Unidos</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Haití</v>
      </c>
      <c r="D432" s="9" t="str">
        <f ca="1">+WORLDCUP!BD67</f>
        <v>Argelia</v>
      </c>
      <c r="E432" s="9" t="str">
        <f ca="1">+WORLDCUP!BD59</f>
        <v>Bosnia y Herzegovina</v>
      </c>
      <c r="F432" s="9" t="str">
        <f ca="1">+WORLDCUP!BD61</f>
        <v>Estados Unidos</v>
      </c>
      <c r="G432" s="9" t="str">
        <f ca="1">+WORLDCUP!BD58</f>
        <v>República Checa</v>
      </c>
      <c r="H432" s="9" t="str">
        <f ca="1">+WORLDCUP!BD64</f>
        <v>Egipto</v>
      </c>
      <c r="I432" s="9" t="str">
        <f ca="1">+WORLDCUP!BD69</f>
        <v>Panamá</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Egipto</v>
      </c>
      <c r="E433" s="9" t="str">
        <f ca="1">+WORLDCUP!BD59</f>
        <v>Bosnia y Herzegovina</v>
      </c>
      <c r="F433" s="9" t="str">
        <f ca="1">+WORLDCUP!BD60</f>
        <v>Haití</v>
      </c>
      <c r="G433" s="9" t="str">
        <f ca="1">+WORLDCUP!BD58</f>
        <v>República Checa</v>
      </c>
      <c r="H433" s="9" t="str">
        <f ca="1">+WORLDCUP!BD61</f>
        <v>Estados Unidos</v>
      </c>
      <c r="I433" s="9" t="str">
        <f ca="1">+WORLDCUP!BD69</f>
        <v>Panamá</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Haití</v>
      </c>
      <c r="D434" s="9" t="str">
        <f ca="1">+WORLDCUP!BD67</f>
        <v>Argelia</v>
      </c>
      <c r="E434" s="9" t="str">
        <f ca="1">+WORLDCUP!BD59</f>
        <v>Bosnia y Herzegovina</v>
      </c>
      <c r="F434" s="9" t="str">
        <f ca="1">+WORLDCUP!BD61</f>
        <v>Estados Unidos</v>
      </c>
      <c r="G434" s="9" t="str">
        <f ca="1">+WORLDCUP!BD58</f>
        <v>República Checa</v>
      </c>
      <c r="H434" s="9" t="str">
        <f ca="1">+WORLDCUP!BD64</f>
        <v>Egipto</v>
      </c>
      <c r="I434" s="9" t="str">
        <f ca="1">+WORLDCUP!BD69</f>
        <v>Panamá</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Haití</v>
      </c>
      <c r="D435" s="9" t="str">
        <f ca="1">+WORLDCUP!BD67</f>
        <v>Argelia</v>
      </c>
      <c r="E435" s="9" t="str">
        <f ca="1">+WORLDCUP!BD59</f>
        <v>Bosnia y Herzegovina</v>
      </c>
      <c r="F435" s="9" t="str">
        <f ca="1">+WORLDCUP!BD61</f>
        <v>Estados Unidos</v>
      </c>
      <c r="G435" s="9" t="str">
        <f ca="1">+WORLDCUP!BD58</f>
        <v>República Checa</v>
      </c>
      <c r="H435" s="9" t="str">
        <f ca="1">+WORLDCUP!BD64</f>
        <v>Egipto</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Egipto</v>
      </c>
      <c r="E436" s="9" t="str">
        <f ca="1">+WORLDCUP!BD59</f>
        <v>Bosnia y Herzegovina</v>
      </c>
      <c r="F436" s="9" t="str">
        <f ca="1">+WORLDCUP!BD60</f>
        <v>Haití</v>
      </c>
      <c r="G436" s="9" t="str">
        <f ca="1">+WORLDCUP!BD58</f>
        <v>República Checa</v>
      </c>
      <c r="H436" s="9" t="str">
        <f ca="1">+WORLDCUP!BD61</f>
        <v>Estados Unidos</v>
      </c>
      <c r="I436" s="9" t="str">
        <f ca="1">+WORLDCUP!BD69</f>
        <v>Panamá</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Egipto</v>
      </c>
      <c r="E437" s="9" t="str">
        <f ca="1">+WORLDCUP!BD59</f>
        <v>Bosnia y Herzegovina</v>
      </c>
      <c r="F437" s="9" t="str">
        <f ca="1">+WORLDCUP!BD60</f>
        <v>Haití</v>
      </c>
      <c r="G437" s="9" t="str">
        <f ca="1">+WORLDCUP!BD58</f>
        <v>República Checa</v>
      </c>
      <c r="H437" s="9" t="str">
        <f ca="1">+WORLDCUP!BD61</f>
        <v>Estados Unidos</v>
      </c>
      <c r="I437" s="9" t="str">
        <f ca="1">+WORLDCUP!BD69</f>
        <v>Panamá</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Egipto</v>
      </c>
      <c r="E438" s="9" t="str">
        <f ca="1">+WORLDCUP!BD59</f>
        <v>Bosnia y Herzegovina</v>
      </c>
      <c r="F438" s="9" t="str">
        <f ca="1">+WORLDCUP!BD60</f>
        <v>Haití</v>
      </c>
      <c r="G438" s="9" t="str">
        <f ca="1">+WORLDCUP!BD58</f>
        <v>República Checa</v>
      </c>
      <c r="H438" s="9" t="str">
        <f ca="1">+WORLDCUP!BD61</f>
        <v>Estados Unidos</v>
      </c>
      <c r="I438" s="9" t="str">
        <f ca="1">+WORLDCUP!BD67</f>
        <v>Argelia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Egipto</v>
      </c>
      <c r="E439" s="9" t="str">
        <f ca="1">+WORLDCUP!BD59</f>
        <v>Bosnia y Herzegovina</v>
      </c>
      <c r="F439" s="9" t="str">
        <f ca="1">+WORLDCUP!BD60</f>
        <v>Haití</v>
      </c>
      <c r="G439" s="9" t="str">
        <f ca="1">+WORLDCUP!BD58</f>
        <v>República Checa</v>
      </c>
      <c r="H439" s="9" t="str">
        <f ca="1">+WORLDCUP!BD61</f>
        <v>Estados Unidos</v>
      </c>
      <c r="I439" s="9" t="str">
        <f ca="1">+WORLDCUP!BD69</f>
        <v>Panamá</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Egipto</v>
      </c>
      <c r="E440" s="9" t="str">
        <f ca="1">+WORLDCUP!BD59</f>
        <v>Bosnia y Herzegovina</v>
      </c>
      <c r="F440" s="9" t="str">
        <f ca="1">+WORLDCUP!BD60</f>
        <v>Haití</v>
      </c>
      <c r="G440" s="9" t="str">
        <f ca="1">+WORLDCUP!BD58</f>
        <v>República Checa</v>
      </c>
      <c r="H440" s="9" t="str">
        <f ca="1">+WORLDCUP!BD61</f>
        <v>Estados Unidos</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Egipto</v>
      </c>
      <c r="E441" s="9" t="str">
        <f ca="1">+WORLDCUP!BD59</f>
        <v>Bosnia y Herzegovina</v>
      </c>
      <c r="F441" s="9" t="str">
        <f ca="1">+WORLDCUP!BD60</f>
        <v>Haití</v>
      </c>
      <c r="G441" s="9" t="str">
        <f ca="1">+WORLDCUP!BD58</f>
        <v>República Checa</v>
      </c>
      <c r="H441" s="9" t="str">
        <f ca="1">+WORLDCUP!BD61</f>
        <v>Estados Unidos</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Haití</v>
      </c>
      <c r="D442" s="9" t="str">
        <f ca="1">+WORLDCUP!BD67</f>
        <v>Argelia</v>
      </c>
      <c r="E442" s="9" t="str">
        <f ca="1">+WORLDCUP!BD59</f>
        <v>Bosnia y Herzegovina</v>
      </c>
      <c r="F442" s="9" t="str">
        <f ca="1">+WORLDCUP!BD61</f>
        <v>Estados Unidos</v>
      </c>
      <c r="G442" s="9" t="str">
        <f ca="1">+WORLDCUP!BD58</f>
        <v>República Checa</v>
      </c>
      <c r="H442" s="9" t="str">
        <f ca="1">+WORLDCUP!BD63</f>
        <v>Túnez</v>
      </c>
      <c r="I442" s="9" t="str">
        <f ca="1">+WORLDCUP!BD69</f>
        <v>Panamá</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Haití</v>
      </c>
      <c r="D443" s="9" t="str">
        <f ca="1">+WORLDCUP!BD66</f>
        <v>Senegal</v>
      </c>
      <c r="E443" s="9" t="str">
        <f ca="1">+WORLDCUP!BD59</f>
        <v>Bosnia y Herzegovina</v>
      </c>
      <c r="F443" s="9" t="str">
        <f ca="1">+WORLDCUP!BD61</f>
        <v>Estados Unidos</v>
      </c>
      <c r="G443" s="9" t="str">
        <f ca="1">+WORLDCUP!BD58</f>
        <v>República Checa</v>
      </c>
      <c r="H443" s="9" t="str">
        <f ca="1">+WORLDCUP!BD63</f>
        <v>Túnez</v>
      </c>
      <c r="I443" s="9" t="str">
        <f ca="1">+WORLDCUP!BD69</f>
        <v>Panamá</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Haití</v>
      </c>
      <c r="D444" s="9" t="str">
        <f ca="1">+WORLDCUP!BD67</f>
        <v>Argelia</v>
      </c>
      <c r="E444" s="9" t="str">
        <f ca="1">+WORLDCUP!BD59</f>
        <v>Bosnia y Herzegovina</v>
      </c>
      <c r="F444" s="9" t="str">
        <f ca="1">+WORLDCUP!BD61</f>
        <v>Estados Unidos</v>
      </c>
      <c r="G444" s="9" t="str">
        <f ca="1">+WORLDCUP!BD58</f>
        <v>República Checa</v>
      </c>
      <c r="H444" s="9" t="str">
        <f ca="1">+WORLDCUP!BD63</f>
        <v>Túnez</v>
      </c>
      <c r="I444" s="9" t="str">
        <f ca="1">+WORLDCUP!BD69</f>
        <v>Panamá</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Haití</v>
      </c>
      <c r="D445" s="9" t="str">
        <f ca="1">+WORLDCUP!BD67</f>
        <v>Argelia</v>
      </c>
      <c r="E445" s="9" t="str">
        <f ca="1">+WORLDCUP!BD59</f>
        <v>Bosnia y Herzegovina</v>
      </c>
      <c r="F445" s="9" t="str">
        <f ca="1">+WORLDCUP!BD61</f>
        <v>Estados Unidos</v>
      </c>
      <c r="G445" s="9" t="str">
        <f ca="1">+WORLDCUP!BD58</f>
        <v>República Checa</v>
      </c>
      <c r="H445" s="9" t="str">
        <f ca="1">+WORLDCUP!BD63</f>
        <v>Túnez</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Túnez</v>
      </c>
      <c r="E446" s="9" t="str">
        <f ca="1">+WORLDCUP!BD59</f>
        <v>Bosnia y Herzegovina</v>
      </c>
      <c r="F446" s="9" t="str">
        <f ca="1">+WORLDCUP!BD60</f>
        <v>Haití</v>
      </c>
      <c r="G446" s="9" t="str">
        <f ca="1">+WORLDCUP!BD58</f>
        <v>República Checa</v>
      </c>
      <c r="H446" s="9" t="str">
        <f ca="1">+WORLDCUP!BD61</f>
        <v>Estados Unidos</v>
      </c>
      <c r="I446" s="9" t="str">
        <f ca="1">+WORLDCUP!BD69</f>
        <v>Panamá</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Haití</v>
      </c>
      <c r="D447" s="9" t="str">
        <f ca="1">+WORLDCUP!BD67</f>
        <v>Argelia</v>
      </c>
      <c r="E447" s="9" t="str">
        <f ca="1">+WORLDCUP!BD59</f>
        <v>Bosnia y Herzegovina</v>
      </c>
      <c r="F447" s="9" t="str">
        <f ca="1">+WORLDCUP!BD61</f>
        <v>Estados Unidos</v>
      </c>
      <c r="G447" s="9" t="str">
        <f ca="1">+WORLDCUP!BD58</f>
        <v>República Checa</v>
      </c>
      <c r="H447" s="9" t="str">
        <f ca="1">+WORLDCUP!BD63</f>
        <v>Túnez</v>
      </c>
      <c r="I447" s="9" t="str">
        <f ca="1">+WORLDCUP!BD69</f>
        <v>Panamá</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Haití</v>
      </c>
      <c r="G448" s="9" t="str">
        <f ca="1">+WORLDCUP!BD58</f>
        <v>República Checa</v>
      </c>
      <c r="H448" s="9" t="str">
        <f ca="1">+WORLDCUP!BD63</f>
        <v>Túnez</v>
      </c>
      <c r="I448" s="9" t="str">
        <f ca="1">+WORLDCUP!BD61</f>
        <v>Estados Unidos</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Túnez</v>
      </c>
      <c r="E449" s="9" t="str">
        <f ca="1">+WORLDCUP!BD59</f>
        <v>Bosnia y Herzegovina</v>
      </c>
      <c r="F449" s="9" t="str">
        <f ca="1">+WORLDCUP!BD60</f>
        <v>Haití</v>
      </c>
      <c r="G449" s="9" t="str">
        <f ca="1">+WORLDCUP!BD58</f>
        <v>República Checa</v>
      </c>
      <c r="H449" s="9" t="str">
        <f ca="1">+WORLDCUP!BD61</f>
        <v>Estados Unidos</v>
      </c>
      <c r="I449" s="9" t="str">
        <f ca="1">+WORLDCUP!BD69</f>
        <v>Panamá</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Túnez</v>
      </c>
      <c r="E450" s="9" t="str">
        <f ca="1">+WORLDCUP!BD59</f>
        <v>Bosnia y Herzegovina</v>
      </c>
      <c r="F450" s="9" t="str">
        <f ca="1">+WORLDCUP!BD60</f>
        <v>Haití</v>
      </c>
      <c r="G450" s="9" t="str">
        <f ca="1">+WORLDCUP!BD58</f>
        <v>República Checa</v>
      </c>
      <c r="H450" s="9" t="str">
        <f ca="1">+WORLDCUP!BD61</f>
        <v>Estados Unidos</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Haití</v>
      </c>
      <c r="G451" s="9" t="str">
        <f ca="1">+WORLDCUP!BD58</f>
        <v>República Checa</v>
      </c>
      <c r="H451" s="9" t="str">
        <f ca="1">+WORLDCUP!BD63</f>
        <v>Túnez</v>
      </c>
      <c r="I451" s="9" t="str">
        <f ca="1">+WORLDCUP!BD61</f>
        <v>Estados Unidos</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Haití</v>
      </c>
      <c r="D452" s="9" t="str">
        <f ca="1">+WORLDCUP!BD64</f>
        <v>Egipto</v>
      </c>
      <c r="E452" s="9" t="str">
        <f ca="1">+WORLDCUP!BD59</f>
        <v>Bosnia y Herzegovina</v>
      </c>
      <c r="F452" s="9" t="str">
        <f ca="1">+WORLDCUP!BD61</f>
        <v>Estados Unidos</v>
      </c>
      <c r="G452" s="9" t="str">
        <f ca="1">+WORLDCUP!BD58</f>
        <v>República Checa</v>
      </c>
      <c r="H452" s="9" t="str">
        <f ca="1">+WORLDCUP!BD63</f>
        <v>Túnez</v>
      </c>
      <c r="I452" s="9" t="str">
        <f ca="1">+WORLDCUP!BD69</f>
        <v>Panamá</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Haití</v>
      </c>
      <c r="D453" s="9" t="str">
        <f ca="1">+WORLDCUP!BD64</f>
        <v>Egipto</v>
      </c>
      <c r="E453" s="9" t="str">
        <f ca="1">+WORLDCUP!BD59</f>
        <v>Bosnia y Herzegovina</v>
      </c>
      <c r="F453" s="9" t="str">
        <f ca="1">+WORLDCUP!BD61</f>
        <v>Estados Unidos</v>
      </c>
      <c r="G453" s="9" t="str">
        <f ca="1">+WORLDCUP!BD58</f>
        <v>República Checa</v>
      </c>
      <c r="H453" s="9" t="str">
        <f ca="1">+WORLDCUP!BD63</f>
        <v>Túnez</v>
      </c>
      <c r="I453" s="9" t="str">
        <f ca="1">+WORLDCUP!BD69</f>
        <v>Panamá</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Haití</v>
      </c>
      <c r="D454" s="9" t="str">
        <f ca="1">+WORLDCUP!BD64</f>
        <v>Egipto</v>
      </c>
      <c r="E454" s="9" t="str">
        <f ca="1">+WORLDCUP!BD59</f>
        <v>Bosnia y Herzegovina</v>
      </c>
      <c r="F454" s="9" t="str">
        <f ca="1">+WORLDCUP!BD61</f>
        <v>Estados Unidos</v>
      </c>
      <c r="G454" s="9" t="str">
        <f ca="1">+WORLDCUP!BD58</f>
        <v>República Checa</v>
      </c>
      <c r="H454" s="9" t="str">
        <f ca="1">+WORLDCUP!BD63</f>
        <v>Túnez</v>
      </c>
      <c r="I454" s="9" t="str">
        <f ca="1">+WORLDCUP!BD67</f>
        <v>Argelia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Haití</v>
      </c>
      <c r="D455" s="9" t="str">
        <f ca="1">+WORLDCUP!BD64</f>
        <v>Egipto</v>
      </c>
      <c r="E455" s="9" t="str">
        <f ca="1">+WORLDCUP!BD59</f>
        <v>Bosnia y Herzegovina</v>
      </c>
      <c r="F455" s="9" t="str">
        <f ca="1">+WORLDCUP!BD61</f>
        <v>Estados Unidos</v>
      </c>
      <c r="G455" s="9" t="str">
        <f ca="1">+WORLDCUP!BD58</f>
        <v>República Checa</v>
      </c>
      <c r="H455" s="9" t="str">
        <f ca="1">+WORLDCUP!BD63</f>
        <v>Túnez</v>
      </c>
      <c r="I455" s="9" t="str">
        <f ca="1">+WORLDCUP!BD69</f>
        <v>Panamá</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Haití</v>
      </c>
      <c r="D456" s="9" t="str">
        <f ca="1">+WORLDCUP!BD64</f>
        <v>Egipto</v>
      </c>
      <c r="E456" s="9" t="str">
        <f ca="1">+WORLDCUP!BD59</f>
        <v>Bosnia y Herzegovina</v>
      </c>
      <c r="F456" s="9" t="str">
        <f ca="1">+WORLDCUP!BD61</f>
        <v>Estados Unidos</v>
      </c>
      <c r="G456" s="9" t="str">
        <f ca="1">+WORLDCUP!BD58</f>
        <v>República Checa</v>
      </c>
      <c r="H456" s="9" t="str">
        <f ca="1">+WORLDCUP!BD63</f>
        <v>Túnez</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Haití</v>
      </c>
      <c r="D457" s="9" t="str">
        <f ca="1">+WORLDCUP!BD64</f>
        <v>Egipto</v>
      </c>
      <c r="E457" s="9" t="str">
        <f ca="1">+WORLDCUP!BD59</f>
        <v>Bosnia y Herzegovina</v>
      </c>
      <c r="F457" s="9" t="str">
        <f ca="1">+WORLDCUP!BD61</f>
        <v>Estados Unidos</v>
      </c>
      <c r="G457" s="9" t="str">
        <f ca="1">+WORLDCUP!BD58</f>
        <v>República Checa</v>
      </c>
      <c r="H457" s="9" t="str">
        <f ca="1">+WORLDCUP!BD63</f>
        <v>Túnez</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Haití</v>
      </c>
      <c r="D458" s="9" t="str">
        <f ca="1">+WORLDCUP!BD64</f>
        <v>Egipto</v>
      </c>
      <c r="E458" s="9" t="str">
        <f ca="1">+WORLDCUP!BD59</f>
        <v>Bosnia y Herzegovina</v>
      </c>
      <c r="F458" s="9" t="str">
        <f ca="1">+WORLDCUP!BD61</f>
        <v>Estados Unidos</v>
      </c>
      <c r="G458" s="9" t="str">
        <f ca="1">+WORLDCUP!BD58</f>
        <v>República Checa</v>
      </c>
      <c r="H458" s="9" t="str">
        <f ca="1">+WORLDCUP!BD63</f>
        <v>Túnez</v>
      </c>
      <c r="I458" s="9" t="str">
        <f ca="1">+WORLDCUP!BD69</f>
        <v>Panamá</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Egipto</v>
      </c>
      <c r="E459" s="9" t="str">
        <f ca="1">+WORLDCUP!BD59</f>
        <v>Bosnia y Herzegovina</v>
      </c>
      <c r="F459" s="9" t="str">
        <f ca="1">+WORLDCUP!BD60</f>
        <v>Haití</v>
      </c>
      <c r="G459" s="9" t="str">
        <f ca="1">+WORLDCUP!BD58</f>
        <v>República Checa</v>
      </c>
      <c r="H459" s="9" t="str">
        <f ca="1">+WORLDCUP!BD63</f>
        <v>Túnez</v>
      </c>
      <c r="I459" s="9" t="str">
        <f ca="1">+WORLDCUP!BD61</f>
        <v>Estados Unidos</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Egipto</v>
      </c>
      <c r="E460" s="9" t="str">
        <f ca="1">+WORLDCUP!BD59</f>
        <v>Bosnia y Herzegovina</v>
      </c>
      <c r="F460" s="9" t="str">
        <f ca="1">+WORLDCUP!BD60</f>
        <v>Haití</v>
      </c>
      <c r="G460" s="9" t="str">
        <f ca="1">+WORLDCUP!BD58</f>
        <v>República Checa</v>
      </c>
      <c r="H460" s="9" t="str">
        <f ca="1">+WORLDCUP!BD63</f>
        <v>Túnez</v>
      </c>
      <c r="I460" s="9" t="str">
        <f ca="1">+WORLDCUP!BD61</f>
        <v>Estados Unidos</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Egipto</v>
      </c>
      <c r="E461" s="9" t="str">
        <f ca="1">+WORLDCUP!BD59</f>
        <v>Bosnia y Herzegovina</v>
      </c>
      <c r="F461" s="9" t="str">
        <f ca="1">+WORLDCUP!BD60</f>
        <v>Haití</v>
      </c>
      <c r="G461" s="9" t="str">
        <f ca="1">+WORLDCUP!BD58</f>
        <v>República Checa</v>
      </c>
      <c r="H461" s="9" t="str">
        <f ca="1">+WORLDCUP!BD63</f>
        <v>Túnez</v>
      </c>
      <c r="I461" s="9" t="str">
        <f ca="1">+WORLDCUP!BD61</f>
        <v>Estados Unidos</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Haití</v>
      </c>
      <c r="G462" s="9" t="str">
        <f ca="1">+WORLDCUP!BD58</f>
        <v>República Checa</v>
      </c>
      <c r="H462" s="9" t="str">
        <f ca="1">+WORLDCUP!BD61</f>
        <v>Estados Unidos</v>
      </c>
      <c r="I462" s="9" t="str">
        <f ca="1">+WORLDCUP!BD69</f>
        <v>Panamá</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Haití</v>
      </c>
      <c r="G463" s="9" t="str">
        <f ca="1">+WORLDCUP!BD58</f>
        <v>República Checa</v>
      </c>
      <c r="H463" s="9" t="str">
        <f ca="1">+WORLDCUP!BD61</f>
        <v>Estados Unidos</v>
      </c>
      <c r="I463" s="9" t="str">
        <f ca="1">+WORLDCUP!BD69</f>
        <v>Panamá</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Haití</v>
      </c>
      <c r="G464" s="9" t="str">
        <f ca="1">+WORLDCUP!BD58</f>
        <v>República Checa</v>
      </c>
      <c r="H464" s="9" t="str">
        <f ca="1">+WORLDCUP!BD61</f>
        <v>Estados Unidos</v>
      </c>
      <c r="I464" s="9" t="str">
        <f ca="1">+WORLDCUP!BD69</f>
        <v>Panamá</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Haití</v>
      </c>
      <c r="G465" s="9" t="str">
        <f ca="1">+WORLDCUP!BD58</f>
        <v>República Checa</v>
      </c>
      <c r="H465" s="9" t="str">
        <f ca="1">+WORLDCUP!BD61</f>
        <v>Estados Unidos</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Haití</v>
      </c>
      <c r="G466" s="9" t="str">
        <f ca="1">+WORLDCUP!BD58</f>
        <v>República Checa</v>
      </c>
      <c r="H466" s="9" t="str">
        <f ca="1">+WORLDCUP!BD61</f>
        <v>Estados Unidos</v>
      </c>
      <c r="I466" s="9" t="str">
        <f ca="1">+WORLDCUP!BD69</f>
        <v>Panamá</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Haití</v>
      </c>
      <c r="G467" s="9" t="str">
        <f ca="1">+WORLDCUP!BD58</f>
        <v>República Checa</v>
      </c>
      <c r="H467" s="9" t="str">
        <f ca="1">+WORLDCUP!BD61</f>
        <v>Estados Unidos</v>
      </c>
      <c r="I467" s="9" t="str">
        <f ca="1">+WORLDCUP!BD69</f>
        <v>Panamá</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Haití</v>
      </c>
      <c r="G468" s="9" t="str">
        <f ca="1">+WORLDCUP!BD58</f>
        <v>República Checa</v>
      </c>
      <c r="H468" s="9" t="str">
        <f ca="1">+WORLDCUP!BD61</f>
        <v>Estados Unidos</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Haití</v>
      </c>
      <c r="G469" s="9" t="str">
        <f ca="1">+WORLDCUP!BD58</f>
        <v>República Checa</v>
      </c>
      <c r="H469" s="9" t="str">
        <f ca="1">+WORLDCUP!BD61</f>
        <v>Estados Unidos</v>
      </c>
      <c r="I469" s="9" t="str">
        <f ca="1">+WORLDCUP!BD69</f>
        <v>Panamá</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Haití</v>
      </c>
      <c r="G470" s="9" t="str">
        <f ca="1">+WORLDCUP!BD58</f>
        <v>República Checa</v>
      </c>
      <c r="H470" s="9" t="str">
        <f ca="1">+WORLDCUP!BD61</f>
        <v>Estados Unidos</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Haití</v>
      </c>
      <c r="G471" s="9" t="str">
        <f ca="1">+WORLDCUP!BD58</f>
        <v>República Checa</v>
      </c>
      <c r="H471" s="9" t="str">
        <f ca="1">+WORLDCUP!BD61</f>
        <v>Estados Unidos</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Egipto</v>
      </c>
      <c r="E472" s="9" t="str">
        <f ca="1">+WORLDCUP!BD59</f>
        <v>Bosnia y Herzegovina</v>
      </c>
      <c r="F472" s="9" t="str">
        <f ca="1">+WORLDCUP!BD60</f>
        <v>Haití</v>
      </c>
      <c r="G472" s="9" t="str">
        <f ca="1">+WORLDCUP!BD58</f>
        <v>República Checa</v>
      </c>
      <c r="H472" s="9" t="str">
        <f ca="1">+WORLDCUP!BD61</f>
        <v>Estados Unidos</v>
      </c>
      <c r="I472" s="9" t="str">
        <f ca="1">+WORLDCUP!BD69</f>
        <v>Panamá</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Egipto</v>
      </c>
      <c r="E473" s="9" t="str">
        <f ca="1">+WORLDCUP!BD59</f>
        <v>Bosnia y Herzegovina</v>
      </c>
      <c r="F473" s="9" t="str">
        <f ca="1">+WORLDCUP!BD60</f>
        <v>Haití</v>
      </c>
      <c r="G473" s="9" t="str">
        <f ca="1">+WORLDCUP!BD58</f>
        <v>República Checa</v>
      </c>
      <c r="H473" s="9" t="str">
        <f ca="1">+WORLDCUP!BD61</f>
        <v>Estados Unidos</v>
      </c>
      <c r="I473" s="9" t="str">
        <f ca="1">+WORLDCUP!BD69</f>
        <v>Panamá</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Egipto</v>
      </c>
      <c r="E474" s="9" t="str">
        <f ca="1">+WORLDCUP!BD59</f>
        <v>Bosnia y Herzegovina</v>
      </c>
      <c r="F474" s="9" t="str">
        <f ca="1">+WORLDCUP!BD60</f>
        <v>Haití</v>
      </c>
      <c r="G474" s="9" t="str">
        <f ca="1">+WORLDCUP!BD58</f>
        <v>República Checa</v>
      </c>
      <c r="H474" s="9" t="str">
        <f ca="1">+WORLDCUP!BD61</f>
        <v>Estados Unidos</v>
      </c>
      <c r="I474" s="9" t="str">
        <f ca="1">+WORLDCUP!BD67</f>
        <v>Argelia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Egipto</v>
      </c>
      <c r="E475" s="9" t="str">
        <f ca="1">+WORLDCUP!BD59</f>
        <v>Bosnia y Herzegovina</v>
      </c>
      <c r="F475" s="9" t="str">
        <f ca="1">+WORLDCUP!BD60</f>
        <v>Haití</v>
      </c>
      <c r="G475" s="9" t="str">
        <f ca="1">+WORLDCUP!BD58</f>
        <v>República Checa</v>
      </c>
      <c r="H475" s="9" t="str">
        <f ca="1">+WORLDCUP!BD61</f>
        <v>Estados Unidos</v>
      </c>
      <c r="I475" s="9" t="str">
        <f ca="1">+WORLDCUP!BD69</f>
        <v>Panamá</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Egipto</v>
      </c>
      <c r="E476" s="9" t="str">
        <f ca="1">+WORLDCUP!BD59</f>
        <v>Bosnia y Herzegovina</v>
      </c>
      <c r="F476" s="9" t="str">
        <f ca="1">+WORLDCUP!BD60</f>
        <v>Haití</v>
      </c>
      <c r="G476" s="9" t="str">
        <f ca="1">+WORLDCUP!BD58</f>
        <v>República Checa</v>
      </c>
      <c r="H476" s="9" t="str">
        <f ca="1">+WORLDCUP!BD61</f>
        <v>Estados Unidos</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Egipto</v>
      </c>
      <c r="E477" s="9" t="str">
        <f ca="1">+WORLDCUP!BD59</f>
        <v>Bosnia y Herzegovina</v>
      </c>
      <c r="F477" s="9" t="str">
        <f ca="1">+WORLDCUP!BD60</f>
        <v>Haití</v>
      </c>
      <c r="G477" s="9" t="str">
        <f ca="1">+WORLDCUP!BD58</f>
        <v>República Checa</v>
      </c>
      <c r="H477" s="9" t="str">
        <f ca="1">+WORLDCUP!BD61</f>
        <v>Estados Unidos</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Egipto</v>
      </c>
      <c r="E478" s="9" t="str">
        <f ca="1">+WORLDCUP!BD59</f>
        <v>Bosnia y Herzegovina</v>
      </c>
      <c r="F478" s="9" t="str">
        <f ca="1">+WORLDCUP!BD60</f>
        <v>Haití</v>
      </c>
      <c r="G478" s="9" t="str">
        <f ca="1">+WORLDCUP!BD58</f>
        <v>República Checa</v>
      </c>
      <c r="H478" s="9" t="str">
        <f ca="1">+WORLDCUP!BD61</f>
        <v>Estados Unidos</v>
      </c>
      <c r="I478" s="9" t="str">
        <f ca="1">+WORLDCUP!BD69</f>
        <v>Panamá</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Egipto</v>
      </c>
      <c r="E479" s="9" t="str">
        <f ca="1">+WORLDCUP!BD59</f>
        <v>Bosnia y Herzegovina</v>
      </c>
      <c r="F479" s="9" t="str">
        <f ca="1">+WORLDCUP!BD60</f>
        <v>Haití</v>
      </c>
      <c r="G479" s="9" t="str">
        <f ca="1">+WORLDCUP!BD58</f>
        <v>República Checa</v>
      </c>
      <c r="H479" s="9" t="str">
        <f ca="1">+WORLDCUP!BD61</f>
        <v>Estados Unidos</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Egipto</v>
      </c>
      <c r="E480" s="9" t="str">
        <f ca="1">+WORLDCUP!BD59</f>
        <v>Bosnia y Herzegovina</v>
      </c>
      <c r="F480" s="9" t="str">
        <f ca="1">+WORLDCUP!BD60</f>
        <v>Haití</v>
      </c>
      <c r="G480" s="9" t="str">
        <f ca="1">+WORLDCUP!BD58</f>
        <v>República Checa</v>
      </c>
      <c r="H480" s="9" t="str">
        <f ca="1">+WORLDCUP!BD61</f>
        <v>Estados Unidos</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Egipto</v>
      </c>
      <c r="E481" s="9" t="str">
        <f ca="1">+WORLDCUP!BD59</f>
        <v>Bosnia y Herzegovina</v>
      </c>
      <c r="F481" s="9" t="str">
        <f ca="1">+WORLDCUP!BD60</f>
        <v>Haití</v>
      </c>
      <c r="G481" s="9" t="str">
        <f ca="1">+WORLDCUP!BD58</f>
        <v>República Checa</v>
      </c>
      <c r="H481" s="9" t="str">
        <f ca="1">+WORLDCUP!BD61</f>
        <v>Estados Unidos</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Haití</v>
      </c>
      <c r="D482" s="9" t="str">
        <f ca="1">+WORLDCUP!BD62</f>
        <v>Costa de Marfil</v>
      </c>
      <c r="E482" s="9" t="str">
        <f ca="1">+WORLDCUP!BD59</f>
        <v>Bosnia y Herzegovina</v>
      </c>
      <c r="F482" s="9" t="str">
        <f ca="1">+WORLDCUP!BD61</f>
        <v>Estados Unidos</v>
      </c>
      <c r="G482" s="9" t="str">
        <f ca="1">+WORLDCUP!BD58</f>
        <v>República Checa</v>
      </c>
      <c r="H482" s="9" t="str">
        <f ca="1">+WORLDCUP!BD63</f>
        <v>Túnez</v>
      </c>
      <c r="I482" s="9" t="str">
        <f ca="1">+WORLDCUP!BD69</f>
        <v>Panamá</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Haití</v>
      </c>
      <c r="D483" s="9" t="str">
        <f ca="1">+WORLDCUP!BD67</f>
        <v>Argelia</v>
      </c>
      <c r="E483" s="9" t="str">
        <f ca="1">+WORLDCUP!BD59</f>
        <v>Bosnia y Herzegovina</v>
      </c>
      <c r="F483" s="9" t="str">
        <f ca="1">+WORLDCUP!BD61</f>
        <v>Estados Unidos</v>
      </c>
      <c r="G483" s="9" t="str">
        <f ca="1">+WORLDCUP!BD58</f>
        <v>República Checa</v>
      </c>
      <c r="H483" s="9" t="str">
        <f ca="1">+WORLDCUP!BD63</f>
        <v>Túnez</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Haití</v>
      </c>
      <c r="D484" s="9" t="str">
        <f ca="1">+WORLDCUP!BD67</f>
        <v>Argelia</v>
      </c>
      <c r="E484" s="9" t="str">
        <f ca="1">+WORLDCUP!BD59</f>
        <v>Bosnia y Herzegovina</v>
      </c>
      <c r="F484" s="9" t="str">
        <f ca="1">+WORLDCUP!BD61</f>
        <v>Estados Unidos</v>
      </c>
      <c r="G484" s="9" t="str">
        <f ca="1">+WORLDCUP!BD58</f>
        <v>República Checa</v>
      </c>
      <c r="H484" s="9" t="str">
        <f ca="1">+WORLDCUP!BD63</f>
        <v>Túnez</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Haití</v>
      </c>
      <c r="D485" s="9" t="str">
        <f ca="1">+WORLDCUP!BD62</f>
        <v>Costa de Marfil</v>
      </c>
      <c r="E485" s="9" t="str">
        <f ca="1">+WORLDCUP!BD59</f>
        <v>Bosnia y Herzegovina</v>
      </c>
      <c r="F485" s="9" t="str">
        <f ca="1">+WORLDCUP!BD61</f>
        <v>Estados Unidos</v>
      </c>
      <c r="G485" s="9" t="str">
        <f ca="1">+WORLDCUP!BD58</f>
        <v>República Checa</v>
      </c>
      <c r="H485" s="9" t="str">
        <f ca="1">+WORLDCUP!BD63</f>
        <v>Túnez</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Haití</v>
      </c>
      <c r="D486" s="9" t="str">
        <f ca="1">+WORLDCUP!BD62</f>
        <v>Costa de Marfil</v>
      </c>
      <c r="E486" s="9" t="str">
        <f ca="1">+WORLDCUP!BD59</f>
        <v>Bosnia y Herzegovina</v>
      </c>
      <c r="F486" s="9" t="str">
        <f ca="1">+WORLDCUP!BD61</f>
        <v>Estados Unidos</v>
      </c>
      <c r="G486" s="9" t="str">
        <f ca="1">+WORLDCUP!BD58</f>
        <v>República Checa</v>
      </c>
      <c r="H486" s="9" t="str">
        <f ca="1">+WORLDCUP!BD63</f>
        <v>Túnez</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Haití</v>
      </c>
      <c r="D487" s="9" t="str">
        <f ca="1">+WORLDCUP!BD67</f>
        <v>Argelia</v>
      </c>
      <c r="E487" s="9" t="str">
        <f ca="1">+WORLDCUP!BD59</f>
        <v>Bosnia y Herzegovina</v>
      </c>
      <c r="F487" s="9" t="str">
        <f ca="1">+WORLDCUP!BD61</f>
        <v>Estados Unidos</v>
      </c>
      <c r="G487" s="9" t="str">
        <f ca="1">+WORLDCUP!BD58</f>
        <v>República Checa</v>
      </c>
      <c r="H487" s="9" t="str">
        <f ca="1">+WORLDCUP!BD63</f>
        <v>Túnez</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Túnez</v>
      </c>
      <c r="E488" s="9" t="str">
        <f ca="1">+WORLDCUP!BD59</f>
        <v>Bosnia y Herzegovina</v>
      </c>
      <c r="F488" s="9" t="str">
        <f ca="1">+WORLDCUP!BD60</f>
        <v>Haití</v>
      </c>
      <c r="G488" s="9" t="str">
        <f ca="1">+WORLDCUP!BD58</f>
        <v>República Checa</v>
      </c>
      <c r="H488" s="9" t="str">
        <f ca="1">+WORLDCUP!BD61</f>
        <v>Estados Unidos</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Haití</v>
      </c>
      <c r="G489" s="9" t="str">
        <f ca="1">+WORLDCUP!BD58</f>
        <v>República Checa</v>
      </c>
      <c r="H489" s="9" t="str">
        <f ca="1">+WORLDCUP!BD63</f>
        <v>Túnez</v>
      </c>
      <c r="I489" s="9" t="str">
        <f ca="1">+WORLDCUP!BD61</f>
        <v>Estados Unidos</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Haití</v>
      </c>
      <c r="G490" s="9" t="str">
        <f ca="1">+WORLDCUP!BD58</f>
        <v>República Checa</v>
      </c>
      <c r="H490" s="9" t="str">
        <f ca="1">+WORLDCUP!BD63</f>
        <v>Túnez</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Haití</v>
      </c>
      <c r="G491" s="9" t="str">
        <f ca="1">+WORLDCUP!BD58</f>
        <v>República Checa</v>
      </c>
      <c r="H491" s="9" t="str">
        <f ca="1">+WORLDCUP!BD63</f>
        <v>Túnez</v>
      </c>
      <c r="I491" s="9" t="str">
        <f ca="1">+WORLDCUP!BD61</f>
        <v>Estados Unidos</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Haití</v>
      </c>
      <c r="D492" s="9" t="str">
        <f ca="1">+WORLDCUP!BD64</f>
        <v>Egipto</v>
      </c>
      <c r="E492" s="9" t="str">
        <f ca="1">+WORLDCUP!BD59</f>
        <v>Bosnia y Herzegovina</v>
      </c>
      <c r="F492" s="9" t="str">
        <f ca="1">+WORLDCUP!BD61</f>
        <v>Estados Unidos</v>
      </c>
      <c r="G492" s="9" t="str">
        <f ca="1">+WORLDCUP!BD58</f>
        <v>República Checa</v>
      </c>
      <c r="H492" s="9" t="str">
        <f ca="1">+WORLDCUP!BD63</f>
        <v>Túnez</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Haití</v>
      </c>
      <c r="D493" s="9" t="str">
        <f ca="1">+WORLDCUP!BD64</f>
        <v>Egipto</v>
      </c>
      <c r="E493" s="9" t="str">
        <f ca="1">+WORLDCUP!BD59</f>
        <v>Bosnia y Herzegovina</v>
      </c>
      <c r="F493" s="9" t="str">
        <f ca="1">+WORLDCUP!BD61</f>
        <v>Estados Unidos</v>
      </c>
      <c r="G493" s="9" t="str">
        <f ca="1">+WORLDCUP!BD58</f>
        <v>República Checa</v>
      </c>
      <c r="H493" s="9" t="str">
        <f ca="1">+WORLDCUP!BD63</f>
        <v>Túnez</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Haití</v>
      </c>
      <c r="D494" s="9" t="str">
        <f ca="1">+WORLDCUP!BD64</f>
        <v>Egipto</v>
      </c>
      <c r="E494" s="9" t="str">
        <f ca="1">+WORLDCUP!BD59</f>
        <v>Bosnia y Herzegovina</v>
      </c>
      <c r="F494" s="9" t="str">
        <f ca="1">+WORLDCUP!BD61</f>
        <v>Estados Unidos</v>
      </c>
      <c r="G494" s="9" t="str">
        <f ca="1">+WORLDCUP!BD58</f>
        <v>República Checa</v>
      </c>
      <c r="H494" s="9" t="str">
        <f ca="1">+WORLDCUP!BD63</f>
        <v>Túnez</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Haití</v>
      </c>
      <c r="D495" s="9" t="str">
        <f ca="1">+WORLDCUP!BD64</f>
        <v>Egipto</v>
      </c>
      <c r="E495" s="9" t="str">
        <f ca="1">+WORLDCUP!BD59</f>
        <v>Bosnia y Herzegovina</v>
      </c>
      <c r="F495" s="9" t="str">
        <f ca="1">+WORLDCUP!BD61</f>
        <v>Estados Unidos</v>
      </c>
      <c r="G495" s="9" t="str">
        <f ca="1">+WORLDCUP!BD58</f>
        <v>República Checa</v>
      </c>
      <c r="H495" s="9" t="str">
        <f ca="1">+WORLDCUP!BD63</f>
        <v>Túnez</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Bosnia y Herzegovina</v>
      </c>
      <c r="F496" s="9" t="str">
        <f ca="1">+WORLDCUP!BD60</f>
        <v>Haití</v>
      </c>
      <c r="G496" s="9" t="str">
        <f ca="1">+WORLDCUP!BD58</f>
        <v>República Checa</v>
      </c>
      <c r="H496" s="9" t="str">
        <f ca="1">+WORLDCUP!BD63</f>
        <v>Túnez</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733</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selection activeCell="L34" sqref="L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3" style="5" customWidth="1"/>
    <col min="2" max="2" width="15.7109375" style="5" customWidth="1"/>
    <col min="3" max="3" width="35.7109375" style="5" customWidth="1"/>
    <col min="4" max="4" width="0.42578125" style="5" customWidth="1"/>
    <col min="5" max="5" width="10.7109375" style="5"/>
    <col min="6" max="6" width="0.42578125" style="5" customWidth="1"/>
    <col min="7" max="9" width="10.7109375" style="5"/>
    <col min="10" max="10" width="10.7109375" style="5" customWidth="1"/>
    <col min="11" max="11" width="4" style="5" customWidth="1"/>
    <col min="12" max="12" width="19.140625" style="5" customWidth="1"/>
    <col min="13" max="13" width="10.7109375" style="5"/>
    <col min="14" max="17" width="15.7109375" style="5" customWidth="1"/>
    <col min="18" max="18" width="22.7109375" style="5" customWidth="1"/>
    <col min="20" max="20" width="10.7109375" style="16"/>
    <col min="21" max="22" width="10.7109375" style="582"/>
    <col min="23" max="24" width="10.7109375" style="582" hidden="1" customWidth="1"/>
    <col min="25" max="25" width="10.7109375" style="582"/>
    <col min="26" max="28" width="10.7109375" style="407"/>
    <col min="29" max="149" width="10.7109375" style="5"/>
    <col min="150" max="158" width="10.7109375" style="407"/>
    <col min="159" max="16384" width="10.7109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89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899999999999999" customHeight="1">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899999999999999" customHeight="1">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899999999999999" customHeight="1">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899999999999999" customHeight="1">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899999999999999" customHeight="1">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899999999999999" customHeight="1">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8.15" customHeight="1" thickBot="1">
      <c r="A34" s="227"/>
      <c r="B34" s="721" t="str">
        <f>HYPERLINK(Idiomas!D10,Idiomas!D9)</f>
        <v>▼ Descargar Excel Administrador Porra ▼</v>
      </c>
      <c r="C34" s="722"/>
      <c r="D34" s="722"/>
      <c r="E34" s="722"/>
      <c r="F34" s="722"/>
      <c r="G34" s="722"/>
      <c r="H34" s="722"/>
      <c r="I34" s="722"/>
      <c r="J34" s="723"/>
      <c r="K34" s="227"/>
      <c r="L34" s="288" t="s">
        <v>1351</v>
      </c>
    </row>
    <row r="35" spans="1:17">
      <c r="A35" s="227"/>
      <c r="C35" s="227"/>
      <c r="D35" s="227"/>
      <c r="E35" s="227"/>
      <c r="F35" s="227"/>
      <c r="G35" s="227"/>
      <c r="H35" s="227"/>
      <c r="I35" s="227"/>
      <c r="J35" s="227"/>
      <c r="K35" s="227"/>
      <c r="L35" s="227"/>
      <c r="M35" s="226"/>
      <c r="N35" s="227"/>
      <c r="O35" s="227"/>
      <c r="P35" s="227"/>
      <c r="Q35" s="227"/>
    </row>
    <row r="36" spans="1:17" ht="28.1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15"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c r="L87" s="3"/>
      <c r="M87" s="612"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2">
        <v>#VALUE!</v>
      </c>
      <c r="Y87" s="9">
        <v>3.5</v>
      </c>
      <c r="Z87" s="6"/>
      <c r="AA87" s="6"/>
      <c r="AB87" s="6"/>
    </row>
    <row r="88" spans="12:28">
      <c r="L88" s="3"/>
      <c r="M88" s="3"/>
      <c r="N88" s="3"/>
      <c r="O88" s="6"/>
      <c r="P88" s="6"/>
      <c r="Q88" s="6"/>
      <c r="R88" s="6"/>
      <c r="T88" s="16" t="s">
        <v>1479</v>
      </c>
      <c r="U88" s="9" t="s">
        <v>1464</v>
      </c>
      <c r="V88" s="9" t="s">
        <v>1465</v>
      </c>
      <c r="W88" s="9" t="s">
        <v>1466</v>
      </c>
      <c r="X88" s="584" t="e" vm="3">
        <v>#VALUE!</v>
      </c>
      <c r="Y88" s="9">
        <v>4</v>
      </c>
      <c r="Z88" s="6"/>
      <c r="AA88" s="6"/>
      <c r="AB88" s="6"/>
    </row>
    <row r="89" spans="12:28" ht="15.75">
      <c r="L89" s="3"/>
      <c r="M89" s="3"/>
      <c r="N89" s="3"/>
      <c r="O89" s="6"/>
      <c r="P89" s="6"/>
      <c r="Q89" s="6"/>
      <c r="R89" s="6"/>
      <c r="T89" s="16" t="s">
        <v>1480</v>
      </c>
      <c r="U89" s="9" t="s">
        <v>1467</v>
      </c>
      <c r="V89" s="9" t="s">
        <v>1467</v>
      </c>
      <c r="W89" s="585" t="s">
        <v>1469</v>
      </c>
      <c r="X89" s="584" t="e" vm="4">
        <v>#VALUE!</v>
      </c>
      <c r="Y89" s="9">
        <v>-4</v>
      </c>
      <c r="Z89" s="6"/>
      <c r="AA89" s="6"/>
      <c r="AB89" s="6"/>
    </row>
    <row r="90" spans="12:28" ht="15.75">
      <c r="L90" s="3"/>
      <c r="M90" s="3"/>
      <c r="N90" s="3"/>
      <c r="O90" s="6"/>
      <c r="P90" s="6"/>
      <c r="Q90" s="6"/>
      <c r="R90" s="6"/>
      <c r="T90" s="16" t="s">
        <v>1481</v>
      </c>
      <c r="U90" s="9" t="s">
        <v>1468</v>
      </c>
      <c r="V90" s="9" t="s">
        <v>1471</v>
      </c>
      <c r="W90" s="586" t="s">
        <v>1470</v>
      </c>
      <c r="X90" s="584" t="e" vm="5">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149999999999999" customHeight="1">
      <c r="L92" s="3"/>
      <c r="M92" s="3"/>
      <c r="N92" s="409" t="s">
        <v>1459</v>
      </c>
      <c r="O92" s="409" t="s">
        <v>1460</v>
      </c>
      <c r="P92" s="409" t="s">
        <v>1494</v>
      </c>
      <c r="Q92" s="409" t="s">
        <v>1482</v>
      </c>
      <c r="R92" s="409" t="s">
        <v>1474</v>
      </c>
      <c r="Z92" s="6"/>
      <c r="AA92" s="6"/>
      <c r="AB92" s="6"/>
    </row>
    <row r="93" spans="12:28" ht="25.15" customHeight="1">
      <c r="L93" s="3"/>
      <c r="M93" s="9" t="s">
        <v>1476</v>
      </c>
      <c r="N93" s="587" t="s">
        <v>1514</v>
      </c>
      <c r="O93" s="587" t="s">
        <v>1483</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1511</v>
      </c>
      <c r="FA6161" s="16" t="s">
        <v>1512</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1505</v>
      </c>
      <c r="FA6163" s="16" t="s">
        <v>1506</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1499</v>
      </c>
      <c r="FA6164" s="16" t="s">
        <v>1500</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1502</v>
      </c>
      <c r="FA6165" s="16" t="s">
        <v>1503</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1508</v>
      </c>
      <c r="FA6166" s="16"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7109375" style="6" bestFit="1" customWidth="1"/>
    <col min="2" max="2" width="16.7109375" style="6" customWidth="1"/>
    <col min="3" max="3" width="11.42578125" style="6" customWidth="1"/>
    <col min="4" max="4" width="8.71093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19">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1513</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1463</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1507</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1501</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1504</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1510</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7109375" style="14"/>
    <col min="7" max="7" width="12.28515625" style="14" bestFit="1" customWidth="1"/>
    <col min="8" max="9" width="10.7109375" style="14"/>
    <col min="10" max="10" width="13.42578125" style="14" customWidth="1"/>
    <col min="11" max="15" width="10.7109375" style="14"/>
    <col min="16" max="16" width="4.7109375" style="14" bestFit="1" customWidth="1"/>
    <col min="17" max="17" width="17.71093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7109375" style="14"/>
    <col min="27" max="27" width="6.42578125" style="14" customWidth="1"/>
    <col min="28" max="33" width="10.7109375" style="14"/>
    <col min="34" max="34" width="3.28515625" style="14" bestFit="1" customWidth="1"/>
    <col min="35" max="16384" width="10.7109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1456</v>
      </c>
      <c r="G100" s="16"/>
      <c r="I100" s="16" t="s">
        <v>1455</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730</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Eduardo Almarza Mayoral</cp:lastModifiedBy>
  <cp:lastPrinted>2018-12-06T18:06:35Z</cp:lastPrinted>
  <dcterms:created xsi:type="dcterms:W3CDTF">2015-10-31T09:41:54Z</dcterms:created>
  <dcterms:modified xsi:type="dcterms:W3CDTF">2026-06-11T17:12:55Z</dcterms:modified>
</cp:coreProperties>
</file>